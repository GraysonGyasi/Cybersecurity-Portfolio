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DC747B9D-DBBB-FA85-71B4-595EBAB97821}"/>
  <workbookPr codeName="ThisWorkbook" hidePivotFieldList="1" autoCompressPictures="0"/>
  <mc:AlternateContent xmlns:mc="http://schemas.openxmlformats.org/markup-compatibility/2006">
    <mc:Choice Requires="x15">
      <x15ac:absPath xmlns:x15ac="http://schemas.microsoft.com/office/spreadsheetml/2010/11/ac" url="https://d.docs.live.net/02d313c93b0c288d/Desktop/"/>
    </mc:Choice>
  </mc:AlternateContent>
  <xr:revisionPtr revIDLastSave="383" documentId="8_{12A7917C-D5A8-4D5F-A70A-56603A295056}" xr6:coauthVersionLast="47" xr6:coauthVersionMax="47" xr10:uidLastSave="{CC149CE8-A227-499F-849E-3AE6D6A1D463}"/>
  <bookViews>
    <workbookView xWindow="-98" yWindow="-98" windowWidth="21795" windowHeight="12975" activeTab="3" xr2:uid="{00000000-000D-0000-FFFF-FFFF00000000}"/>
  </bookViews>
  <sheets>
    <sheet name="ReadMe" sheetId="36" r:id="rId1"/>
    <sheet name="Dashboard" sheetId="14" r:id="rId2"/>
    <sheet name="Hosts" sheetId="35" r:id="rId3"/>
    <sheet name="Vulnerabilities" sheetId="19" r:id="rId4"/>
  </sheets>
  <definedNames>
    <definedName name="_xlnm._FilterDatabase" localSheetId="3" hidden="1">Vulnerabilities!$A$1:$F$21</definedName>
    <definedName name="_Hlk522014639" localSheetId="3">Vulnerabilities!$B$3</definedName>
    <definedName name="_xleta.AND" hidden="1" xlm="1">#NAME?</definedName>
    <definedName name="ImplementationStatus">Dashboard!#REF!</definedName>
    <definedName name="Low">#REF!</definedName>
    <definedName name="new">#REF!</definedName>
  </definedNames>
  <calcPr calcId="191028"/>
  <customWorkbookViews>
    <customWorkbookView name="Andrew Williams - Personal View" guid="{FBACE25D-B662-49AA-A3D5-5B143E680A86}" mergeInterval="0" personalView="1" maximized="1" xWindow="-8" yWindow="-8" windowWidth="1936" windowHeight="1056" tabRatio="475" activeSheetId="1"/>
    <customWorkbookView name="Steven Jones - Personal View" guid="{F2EA9538-AF52-4E89-8D1F-ACF612842014}" mergeInterval="0" personalView="1" maximized="1" xWindow="-8" yWindow="-8" windowWidth="1936" windowHeight="1056" activeSheetId="1"/>
  </customWorkbookView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14" l="1"/>
  <c r="C7" i="14"/>
  <c r="C6" i="14"/>
  <c r="C5" i="14"/>
  <c r="C3" i="14" l="1"/>
</calcChain>
</file>

<file path=xl/sharedStrings.xml><?xml version="1.0" encoding="utf-8"?>
<sst xmlns="http://schemas.openxmlformats.org/spreadsheetml/2006/main" count="146" uniqueCount="102">
  <si>
    <t>Directions for "Dashboard" Tab</t>
  </si>
  <si>
    <r>
      <rPr>
        <b/>
        <u/>
        <sz val="12"/>
        <color rgb="FFC00000"/>
        <rFont val="Times New Roman"/>
        <family val="1"/>
      </rPr>
      <t>Resource Sites</t>
    </r>
    <r>
      <rPr>
        <sz val="10"/>
        <color rgb="FF000000"/>
        <rFont val="Times New Roman"/>
        <family val="1"/>
      </rPr>
      <t xml:space="preserve">
1. Common Vulnerabililty Exposure (CVE)
https://www.cve.org/
https://cve.mitre.org/
https://www.cvedetails.com/
2.  OWASP Top Ten
https://owasp.org/www-project-top-ten/
https://owasp.org/www-community/vulnerabilities/
3.  Known Exploited Vulnerabilites (KEV) Catalog
https://www.cisa.gov/known-exploited-vulnerabilities-catalog
https://www.cvedetails.com/cisa-known-exploited-vulnerabilities/kev-1.html
4.  National Vulnerabiltiy Database (NVD)
https://nvd.nist.gov/vuln
5.  Common Weakness Enumeration (CWE)
https://cwe.mitre.org/
https://cwe.mitre.org/top25/archive/2023/2023_kev_methodology.html
6.  Common Vulnerabilty Scoring System (CVSS)
https://www.first.org/cvss/
https://www.first.org/cvss/v4.0/examples#New-Metric-Attack-Requirements
7.  Cybersecurity Framework (CSF)
https://csf.tools/
</t>
    </r>
  </si>
  <si>
    <t xml:space="preserve">This is a dashboard to show the number of vulnerabilities in the environment and their severity level.  Students are to choose 20 vulnerabilties from the vulnerabilties report generated in Project 1:  Unit 1.  You can use this graphic in your final presentation in Project 4:  Unit 7.  </t>
  </si>
  <si>
    <t>Directions for "Hosts" Tab</t>
  </si>
  <si>
    <t xml:space="preserve">On this tab, after running a host discovery scan or nmap scan, record all hosts discovered from these scans.  Students should have 4 hosts in all.  Record the hosts' ports that are open, and any other type of metadata that is present such as MAC addresses, etc.  </t>
  </si>
  <si>
    <t>Directions for "Vulnerabilities" Tab</t>
  </si>
  <si>
    <t xml:space="preserve">On this tab, using the scan reports generated in the lab in Project 1:  Unit 1, choose 20 vulnerabilities.  </t>
  </si>
  <si>
    <t>Columns B and C is information students can get from the scan reports.</t>
  </si>
  <si>
    <t xml:space="preserve">Column D would be the students, through critical analysis, determine which security objective:  confidentiality, integrity, or availability would be compromised from the vulnerabilty being exploited.  Please see the definitions of CIA to determine which security objective has been compromised. </t>
  </si>
  <si>
    <t xml:space="preserve">Column E is a description of the vulnerability.  Although the scan report will have some of this information, please use the Resourse Sites to find more specific information.  Search the vulenrability by name and also search it by Pluggin number. </t>
  </si>
  <si>
    <t xml:space="preserve">Column F are recommendations for the remediation of the vulnerability.  Some of this information is sometimes found in the scan report; students can also use the resource sites.  If students use Google, please use only reputible sites.  </t>
  </si>
  <si>
    <t>Total Number of Findings:</t>
  </si>
  <si>
    <t>Critical Severity Vulnerabilities</t>
  </si>
  <si>
    <t xml:space="preserve">High Severity Vulnerabilities </t>
  </si>
  <si>
    <t xml:space="preserve">Moderate Severity Vulnerabilities </t>
  </si>
  <si>
    <t>Low Severity Vulnerabilities</t>
  </si>
  <si>
    <t>*Use this chart for your presentation</t>
  </si>
  <si>
    <t xml:space="preserve">Host IP Address </t>
  </si>
  <si>
    <t>Open Port(s)</t>
  </si>
  <si>
    <t>MAC Address (if applicable)</t>
  </si>
  <si>
    <t>#</t>
  </si>
  <si>
    <t>Vulnerability Name</t>
  </si>
  <si>
    <t>Risk Level</t>
  </si>
  <si>
    <t>Compromised Security Objective</t>
  </si>
  <si>
    <t>Vulnerability Description</t>
  </si>
  <si>
    <t>Remediation Recommendation</t>
  </si>
  <si>
    <t>High</t>
  </si>
  <si>
    <t>Moderate</t>
  </si>
  <si>
    <t>Low</t>
  </si>
  <si>
    <t>10.10.10.200</t>
  </si>
  <si>
    <t>10.10.10.102</t>
  </si>
  <si>
    <t>10.10.10.100</t>
  </si>
  <si>
    <t>10.10.10.1</t>
  </si>
  <si>
    <t>N/A</t>
  </si>
  <si>
    <t>02:42:0a:0a:0a:c8</t>
  </si>
  <si>
    <t>02:42:0a:0a:0a:64</t>
  </si>
  <si>
    <t>02:42:0a:0a:0a:66</t>
  </si>
  <si>
    <t>Confidentiality</t>
  </si>
  <si>
    <t>Confidentiality/Availability</t>
  </si>
  <si>
    <t>Integrity/Availability</t>
  </si>
  <si>
    <t>Availability</t>
  </si>
  <si>
    <t>Confidentiality/Integrity</t>
  </si>
  <si>
    <t>This plugin detects which SSL and TLS versions are supported by the remote service for encrypting communications.</t>
  </si>
  <si>
    <t>The remote host is running the Apache HTTP Server, an open source web server. It was possible to read the version number from the banner.</t>
  </si>
  <si>
    <t>The remote host supports the use of anonymous SSL ciphers. While this enables an administrator to set up a service that encrypts traffic without having to generate and configure SSL certificates, it offers no way to verify the remote host's identity and renders the service vulnerable to a man-in-the-middle attack.</t>
  </si>
  <si>
    <t>The remote host has IP forwarding enabled. An attacker can exploit this to route packets through the host and potentially bypass some firewalls / routers / NAC filtering.</t>
  </si>
  <si>
    <t>Unless the remote host is a router, it is recommended that you disable IP forwarding.</t>
  </si>
  <si>
    <t>According to its Server response header, the installed version of nginx is 1.3.0 prior to 1.28.2, or 1.29.x prior to 1.29.5. It is, therefore, affected by the following issue :
- A vulnerability exists in NGINX OSS and NGINX Plus when configured to proxy to upstream Transport Layer Security (TLS) servers. An attacker with a man-in-the-middle (MITM) position on the upstream server side--along with conditions beyond the attacker's control--may be able to inject plain text data into the response from an upstream proxied server. Note: Software versions which have reached End of Technical Support (EoTS) are not evaluated.
(CVE-2026-1642)</t>
  </si>
  <si>
    <t>The remote web server is an instance of the Splunk management API.</t>
  </si>
  <si>
    <t xml:space="preserve">TRex should on Linux, disable IP forwarding by  using this command: echo 0 &gt; /proc/sys/net/ipv4/ip_forward and on windows by setting IPEnableRouter' to 0 under
</t>
  </si>
  <si>
    <t>Trex should configure firewalls and host systems to block ICMP timestamp requests and replies (ICMP Types 13 and 14) to prevent system time disclosure and reduce reconnaissance exposure. In the event that ICMP timestamp requests cannot be disabled due to operational requirements, implement compensating controls such as network segmentation, firewall monitoring, intrusion detection systems (IDS/IPS), system hardening, and continuous log monitoring to reduce reconnaissance exposure. Also TRex should document the risk and periodically review the necessity of allowing ICMP timestamp responses.</t>
  </si>
  <si>
    <t>GE PACSystems Multiple Devices Denial of Service</t>
  </si>
  <si>
    <t>RXi all versions, the device does not properly validate input, which could allow a remote attacker to send specially crafted packets causing the device to become unavailable.</t>
  </si>
  <si>
    <t>Trex should upgrade affected PACSystems firmware/software to the latest secure version recommended by the vendor and apply all available security patches. In the event that TRex cannot upgrade immidiately, it should solate affected systems through network segmentation, restrict access using firewall ACLs, monitor ICS traffic continuously, and limit communication to authorized management systems only.</t>
  </si>
  <si>
    <t>SSL Certificate Cannot Be Trusted</t>
  </si>
  <si>
    <t>Trex should Install a valid SSL/TLS certificate and configure the service to use secure encryption protocols. Also Trex should keep  monitoring traffic for suspicious activity, and document the accepted risk until a proper certificate can be implemented.</t>
  </si>
  <si>
    <t>Splunk Management API Detection</t>
  </si>
  <si>
    <t xml:space="preserve">CGI abuse </t>
  </si>
  <si>
    <t>Trex should limit incoming traffic to this port if desired. In the event that Trex cannot limit the port for functionality of the TRex SE SaaS, implement additional security controls such as continuous network monitoring, intrusion detection/prevention systems (IDS/IPS), strong authentication, encryption, regular patch management, and detailed logging to reduce the risk of unauthorized access or exploitation</t>
  </si>
  <si>
    <t>TRex should secure the web server by removing or disabling unnecessary CGI scripts, applying current patches and updates, restricting unnecessary access, and following secure web server configuration best practices to reduce the risk of exploitation. If certain CGI scripts or services cannot be disabled for functionality of the TRex SE SaaS, TRex should restrict access through firewall rules and continuously monitor web server activity</t>
  </si>
  <si>
    <t>SSL Anonymous Cipher Suites Supported</t>
  </si>
  <si>
    <t>Remote Desktop Protocol Server Man-in-the-Middle Weakness</t>
  </si>
  <si>
    <t>The remote version of the Remote Desktop Protocol Server (Terminal Service) is vulnerable to a man-in-the-middle (MiTM) attack. The RDP client makes no effort to validate the identity of the server when setting up encryption. An attacker with the ability to intercept traffic from the RDP server can establish encryption with the client and server without being detected. A MiTM attack of this nature would allow the attacker to obtain any sensitive information transmitted, including authentication credentials.
This flaw exists because the RDP server stores a publicly known hard-coded RSA private key. Any attacker in a privileged network location can use the key for this attack.</t>
  </si>
  <si>
    <t>TRex should configure the service to use secure SSL/TLS encryption and enable Network Level Authentication (NLA) for Remote Desktop connections to improve authentication security and better protect remote access sessions. In the event that,  SSL/TLS enforcement or NLA cannot be enabled due to compatibility requirements, restrict remote access to trusted hosts, require VPN access and MFA, continuously monitor remote access log</t>
  </si>
  <si>
    <t>Web Server Directory Traversal Arbitrary File Access</t>
  </si>
  <si>
    <t>It appears possible to read arbitrary files on the remote host outside the web server's document directory using a specially crafted URL. An unauthenticated attacker may be able to exploit this issue to access sensitive information to aide in subsequent attacks.
Note that this plugin is not limited to testing for known vulnerabilities in a specific set of web servers. Instead, it attempts a variety of generic directory traversal attacks and considers a product to be vulnerable simply if it finds evidence of the contents of '/etc/passwd' or a Windows 'win.ini' file in the response. It may, in fact, uncover 'new' issues, that have yet to be reported to the product's vendor.</t>
  </si>
  <si>
    <t xml:space="preserve">TRex should contact the vendor for an available security update or patch, consider replacing the affected product with a more secure alternative if necessary, or disable the vulnerable service if it is no longer required to reduce attack surface for cybercriminals </t>
  </si>
  <si>
    <t>Python Library Brotli &lt;= 1.1.0 DoS</t>
  </si>
  <si>
    <t>TRex should upgrade the Brotli compression library to version 1.2.0 or later to address known security vulnerabilities and improve the security and stability of the affected application or web service. However If Brotli cannot be upgraded immediately due to compatibility or operational requirements, restrict exposure to trusted systems, monitor the affected service for suspicious activity</t>
  </si>
  <si>
    <t>Apache Log4j 1.2 JMSAppender Remote Code Execution (CVE-2021-4104)</t>
  </si>
  <si>
    <t>The version of Apache Log4j on the remote host is 1.2. It is, therefore, affected by a remote code execution vulnerability when specifically configured to use JMSAppender.</t>
  </si>
  <si>
    <t>TRex should replace the outdated Log4j 1.x version with Log4j 2.16.0 or newer to fix known security vulnerabilities and ensure the application is using a supported and secure logging framework. In the event that  Log4j cannot be upgraded immediately, isolate affected systems, restrict external access, continuously monitor application logs and network activity and apply available vendor mitigations</t>
  </si>
  <si>
    <t>ImageMagick &lt; 6.9.13-41 / 7.x &lt; 7.1.2-16 Multiple Vulnerabilities</t>
  </si>
  <si>
    <t>The remote Windows host has a version of ImageMagick installed that is prior to 6.9.13-41 and 7.x prior to 7.1.2-16. It is, therefore, affected by multiple vulnerabilities.
- ImageMagick is free and open-source software used for editing and manipulating digital images. Prior to versions 7.1.2-16 and 6.9.13-41, domain='path' authorization is checked before final file open/use. A symlink swap between check-time and use-time bypasses policy-denied read/write. (CVE-2026-28689)</t>
  </si>
  <si>
    <t>TRex should upgrade ImageMagick to version 6.9.13-41, 7.1.2-16, or a later secure release to address known vulnerabilities and improve the security and stability of the affected application or server.</t>
  </si>
  <si>
    <t>SSH Terrapin Prefix Truncation Weakness (CVE-2023-48795)</t>
  </si>
  <si>
    <t>The remote SSH server is vulnerable to a man-in-the-middle prefix truncation weakness known as Terrapin. This can allow a remote, man-in-the-middle attacker to bypass integrity checks and downgrade the connection's security.
Note that this plugin only checks for remote SSH servers that support either ChaCha20-Poly1305 or CBC with Encrypt-then-MAC and do not support the strict key exchange countermeasures. It does not check for vulnerable software versions.</t>
  </si>
  <si>
    <t>TRex should work with the vendor to apply updated security protections for key exchange processes and disable outdated or weak encryption algorithms that could expose communications to security risks. Aslo, Trex should monitor encrypted communications for suspicious activity, enforce strong access controls, and document the accepted risk until stronger cryptographic protections can be implemented.</t>
  </si>
  <si>
    <t>SSL Self-Signed Certificate</t>
  </si>
  <si>
    <t>The X.509 certificate chain for this service is not signed by a recognized certificate authority. If the remote host is a public host in production, this nullifies the use of SSL as anyone could establish a man-in-the-middle attack against the remote host.
Note that this plugin does not check for certificate chains that end in a certificate that is not self-signed, but is signed by an unrecognized certificate authority.</t>
  </si>
  <si>
    <t>TRex should replace the current certificate with a valid trusted SSL/TLS certificate and ensure the service uses secure encryption settings to better protect sensitive communications. If a trusted SSL/TLS certificate cannot be installed immediately, restrict access to the affected service through VPN access, firewall rules, or network segmentation, continuously monitor encrypted traffic for suspicious activity</t>
  </si>
  <si>
    <t>Aqua Security Trivy &lt; 0.51.2 Credential Leak (GHSA-xcq4-m2r3-cmrj)</t>
  </si>
  <si>
    <t>The version of Aqua Security Trivy installed on the remote host is prior to 0.51.2. It is, therefore, affected by a vulnerability as referenced in the GHSA-xcq4-m2r3-cmrj advisory.
- If a malicious actor is able to trigger Trivy to scan container images from a crafted malicious registry, it could result in the leakage of credentials for legitimate registries such as AWS Elastic Container Registry (ECR), Google Cloud Artifact/Container Registry, or Azure Container Registry (ACR). These tokens can then be used to push/pull images from those registries to which the identity/user running Trivy has access. Systems are not affected if the default credential provider chain is unable to obtain valid credentials. This vulnerability only applies when scanning container images directly from a registry. (CVE-2024-35192)</t>
  </si>
  <si>
    <t>Splunk Enterprise 9.0.0 &lt; 9.0.10, 9.1.0 &lt; 9.1.5, 9.2.0 &lt; 9.2.2 (SVD-2024-0715)</t>
  </si>
  <si>
    <t>The version of Splunk installed on the remote host is prior to tested version. It is, therefore, affected by a vulnerability as referenced in the SVD-2024-0715 advisory.
- In Splunk Enterprise versions below 9.2.2, 9.1.5, and 9.0.10 and Splunk Cloud Platform versions below 9.1.2312.200 and 9.1.2308.207, a low-privileged user that does not hold the admin or power Splunk roles could create experimental items. (CVE-2024-36995)</t>
  </si>
  <si>
    <t>TRex should apply the latest Splunk Enterprise security updates and upgrade to a supported version to reduce the risk of exploitation and improve the security of logging and monitoring operations.</t>
  </si>
  <si>
    <t xml:space="preserve">Unathenticated OpenVPN Server Detection </t>
  </si>
  <si>
    <t>The remote host is running on OpenVPN server</t>
  </si>
  <si>
    <t>TRex should enable strong authentication on the OpenVPN service by requiring valid user credentials, certificates, and multi-factor authentication (MFA) where possible to prevent unauthorized remote access.</t>
  </si>
  <si>
    <t>IP Forwarding Enabled</t>
  </si>
  <si>
    <t>nginx 1.3.0 &lt; 1.28.2 / 1.29.x &lt; 1.29.5 SSL Upstream Injection</t>
  </si>
  <si>
    <t>The remote HTTPS server is not enforcing HTTP Strict Transport Security (HSTS). HSTS is an optional response header that can be configured on the server to instruct the browser to only communicate via HTTPS. The lack of HSTS allows downgrade attacks, SSL-stripping man-in-the-middle attacks, and weakens cookie-hijacking protections.</t>
  </si>
  <si>
    <t>HSTS Missing From HTTPS Server</t>
  </si>
  <si>
    <t>TRex should enable HSTS on the web server so browsers automatically use secure HTTPS connections, helping protect users from insecure or intercepted web traffic.</t>
  </si>
  <si>
    <t>Intel Media SDK Multiple Vulnerabilities (INTEL-SA-00935)</t>
  </si>
  <si>
    <t>Improper input validation in Intel Media SDK software all versions may allow an authenticated user to potentially enable denial of service via local access. (CVE-2023-48368)</t>
  </si>
  <si>
    <t>TRex should remove Intel Media SDK from affected systems and transition to a supported replacement because the product has been discontinued and no longer receives security updates or vendor support.</t>
  </si>
  <si>
    <t>TRex should upgrade to nginx 1.28.2 / 1.29.5 or later. In the event that TRex cannot upgrade to a higher version then TRex should apply compensating controls by restricting access to the web server.</t>
  </si>
  <si>
    <t>ICMP Timestamp Request Remote Date Disclosure</t>
  </si>
  <si>
    <t>Confidentiality/Integrity/Availability</t>
  </si>
  <si>
    <t xml:space="preserve">The detected version of the Brotli Python package, Brotli, is prior or equal to 1.1.0. It is, therefore, affected by a denial of service (DoS) vulnerability due to decompression.
</t>
  </si>
  <si>
    <t xml:space="preserve">TRex should update Aqua Security Trivy to version 0.51.2 or newer to fix known security issues and improve the security and reliability of vulnerability scanning operations. If it cannot be updated immidiately then continuously monitor scanning activities and logs until its updated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</si>
</sst>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0"/>
      <color rgb="FF000000"/>
      <name val="Times New Roman"/>
      <charset val="204"/>
    </font>
    <font>
      <sz val="11"/>
      <color theme="1"/>
      <name val="Calibri"/>
      <family val="2"/>
      <scheme val="minor"/>
    </font>
    <font>
      <sz val="11"/>
      <color theme="1"/>
      <name val="Calibri"/>
      <family val="2"/>
      <scheme val="minor"/>
    </font>
    <font>
      <u/>
      <sz val="10"/>
      <color theme="11"/>
      <name val="Times New Roman"/>
      <family val="1"/>
    </font>
    <font>
      <sz val="10"/>
      <name val="Arial"/>
      <family val="2"/>
    </font>
    <font>
      <sz val="10"/>
      <color rgb="FF000000"/>
      <name val="Times New Roman"/>
      <family val="1"/>
    </font>
    <font>
      <sz val="11"/>
      <name val="Arial"/>
      <family val="2"/>
    </font>
    <font>
      <sz val="10"/>
      <color rgb="FFFF0000"/>
      <name val="Arial"/>
      <family val="2"/>
    </font>
    <font>
      <sz val="11"/>
      <color rgb="FFFF0000"/>
      <name val="Arial"/>
      <family val="2"/>
    </font>
    <font>
      <sz val="10"/>
      <name val="Arial"/>
      <family val="2"/>
    </font>
    <font>
      <sz val="10"/>
      <color rgb="FF000000"/>
      <name val="Arial"/>
      <family val="2"/>
    </font>
    <font>
      <b/>
      <sz val="10"/>
      <color rgb="FF000000"/>
      <name val="Arial"/>
      <family val="2"/>
    </font>
    <font>
      <b/>
      <sz val="8"/>
      <color rgb="FFFF0000"/>
      <name val="Arial"/>
      <family val="2"/>
    </font>
    <font>
      <b/>
      <i/>
      <sz val="10"/>
      <color rgb="FF000000"/>
      <name val="Arial"/>
      <family val="2"/>
    </font>
    <font>
      <b/>
      <sz val="16"/>
      <color theme="0"/>
      <name val="Arial"/>
      <family val="2"/>
    </font>
    <font>
      <sz val="11"/>
      <color indexed="8"/>
      <name val="Calibri"/>
      <family val="2"/>
    </font>
    <font>
      <sz val="10"/>
      <color rgb="FF000000"/>
      <name val="Calibri"/>
      <family val="2"/>
      <scheme val="minor"/>
    </font>
    <font>
      <b/>
      <sz val="11"/>
      <color theme="1"/>
      <name val="Calibri"/>
      <family val="2"/>
      <scheme val="minor"/>
    </font>
    <font>
      <sz val="10"/>
      <color rgb="FF000000"/>
      <name val="Times New Roman"/>
      <family val="1"/>
    </font>
    <font>
      <sz val="9"/>
      <color rgb="FF5B6770"/>
      <name val="Arial"/>
      <family val="2"/>
    </font>
    <font>
      <b/>
      <sz val="10"/>
      <color theme="1"/>
      <name val="Arial"/>
      <family val="2"/>
    </font>
    <font>
      <b/>
      <sz val="16"/>
      <color rgb="FFC00000"/>
      <name val="Times New Roman"/>
      <family val="1"/>
    </font>
    <font>
      <sz val="10"/>
      <color theme="0"/>
      <name val="Times New Roman"/>
      <family val="1"/>
    </font>
    <font>
      <b/>
      <u/>
      <sz val="12"/>
      <color rgb="FFC00000"/>
      <name val="Times New Roman"/>
      <family val="1"/>
    </font>
    <font>
      <sz val="10"/>
      <color theme="1"/>
      <name val="Arial"/>
      <family val="2"/>
    </font>
    <font>
      <sz val="10"/>
      <color theme="1"/>
      <name val="Times New Roman"/>
      <family val="1"/>
    </font>
    <font>
      <b/>
      <sz val="9"/>
      <color theme="1"/>
      <name val="Arial"/>
      <family val="2"/>
    </font>
    <font>
      <b/>
      <sz val="9"/>
      <color theme="2" tint="-0.89999084444715716"/>
      <name val="Arial"/>
      <family val="2"/>
    </font>
    <font>
      <sz val="9"/>
      <name val="Arial"/>
      <family val="2"/>
    </font>
  </fonts>
  <fills count="6">
    <fill>
      <patternFill patternType="none"/>
    </fill>
    <fill>
      <patternFill patternType="gray125"/>
    </fill>
    <fill>
      <patternFill patternType="solid">
        <fgColor theme="0" tint="-0.14999847407452621"/>
        <bgColor theme="0" tint="-0.14999847407452621"/>
      </patternFill>
    </fill>
    <fill>
      <patternFill patternType="solid">
        <fgColor rgb="FF7C878E"/>
        <bgColor indexed="64"/>
      </patternFill>
    </fill>
    <fill>
      <patternFill patternType="solid">
        <fgColor theme="4"/>
        <bgColor indexed="64"/>
      </patternFill>
    </fill>
    <fill>
      <patternFill patternType="solid">
        <fgColor rgb="FFC00000"/>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right style="thin">
        <color indexed="64"/>
      </right>
      <top/>
      <bottom/>
      <diagonal/>
    </border>
    <border>
      <left/>
      <right/>
      <top style="thin">
        <color rgb="FFC00000"/>
      </top>
      <bottom/>
      <diagonal/>
    </border>
  </borders>
  <cellStyleXfs count="25">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 fillId="0" borderId="0"/>
    <xf numFmtId="0" fontId="2" fillId="0" borderId="0"/>
    <xf numFmtId="0" fontId="5" fillId="0" borderId="0"/>
    <xf numFmtId="0" fontId="9" fillId="0" borderId="0"/>
    <xf numFmtId="0" fontId="1" fillId="0" borderId="0"/>
    <xf numFmtId="0" fontId="15" fillId="0" borderId="0"/>
    <xf numFmtId="9" fontId="18" fillId="0" borderId="0" applyFont="0" applyFill="0" applyBorder="0" applyAlignment="0" applyProtection="0"/>
  </cellStyleXfs>
  <cellXfs count="34">
    <xf numFmtId="0" fontId="0" fillId="0" borderId="0" xfId="0" applyAlignment="1">
      <alignment horizontal="left" vertical="top"/>
    </xf>
    <xf numFmtId="0" fontId="6" fillId="0" borderId="0" xfId="18" applyFont="1" applyAlignment="1">
      <alignment horizontal="left" vertical="top" wrapText="1"/>
    </xf>
    <xf numFmtId="0" fontId="8" fillId="0" borderId="0" xfId="18" applyFont="1" applyAlignment="1">
      <alignment horizontal="left" vertical="top" wrapText="1"/>
    </xf>
    <xf numFmtId="0" fontId="5" fillId="0" borderId="0" xfId="20" applyAlignment="1">
      <alignment horizontal="left" vertical="top"/>
    </xf>
    <xf numFmtId="0" fontId="11" fillId="0" borderId="1" xfId="0" applyFont="1" applyBorder="1" applyAlignment="1">
      <alignment horizontal="center" vertical="center"/>
    </xf>
    <xf numFmtId="0" fontId="13" fillId="0" borderId="0" xfId="0" applyFont="1" applyAlignment="1">
      <alignment horizontal="left" vertical="center"/>
    </xf>
    <xf numFmtId="0" fontId="14" fillId="0" borderId="0" xfId="18" applyFont="1" applyAlignment="1">
      <alignment horizontal="left" vertical="center"/>
    </xf>
    <xf numFmtId="0" fontId="10" fillId="0" borderId="1" xfId="0" applyFont="1" applyBorder="1" applyAlignment="1">
      <alignment horizontal="center" vertical="center"/>
    </xf>
    <xf numFmtId="0" fontId="17" fillId="0" borderId="0" xfId="0" applyFont="1"/>
    <xf numFmtId="0" fontId="16" fillId="0" borderId="0" xfId="0" applyFont="1"/>
    <xf numFmtId="0" fontId="5" fillId="0" borderId="0" xfId="0" applyFont="1" applyAlignment="1">
      <alignment horizontal="left" vertical="top"/>
    </xf>
    <xf numFmtId="10" fontId="0" fillId="0" borderId="0" xfId="24" applyNumberFormat="1" applyFont="1" applyFill="1" applyBorder="1" applyAlignment="1">
      <alignment horizontal="left" vertical="top"/>
    </xf>
    <xf numFmtId="0" fontId="19" fillId="0" borderId="1" xfId="18" applyFont="1" applyBorder="1" applyAlignment="1">
      <alignment horizontal="left" vertical="top" wrapText="1"/>
    </xf>
    <xf numFmtId="0" fontId="19" fillId="0" borderId="1" xfId="0" applyFont="1" applyBorder="1" applyAlignment="1">
      <alignment horizontal="left" vertical="top" wrapText="1"/>
    </xf>
    <xf numFmtId="0" fontId="20" fillId="2" borderId="1" xfId="0" applyFont="1" applyFill="1" applyBorder="1" applyAlignment="1">
      <alignment horizontal="center" vertical="center" wrapText="1"/>
    </xf>
    <xf numFmtId="0" fontId="10" fillId="0" borderId="1" xfId="0" applyFont="1" applyBorder="1" applyAlignment="1">
      <alignment horizontal="left" vertical="center" wrapText="1"/>
    </xf>
    <xf numFmtId="0" fontId="4" fillId="0" borderId="0" xfId="18" applyAlignment="1">
      <alignment horizontal="left" vertical="top" wrapText="1"/>
    </xf>
    <xf numFmtId="0" fontId="7" fillId="0" borderId="0" xfId="18" applyFont="1" applyAlignment="1">
      <alignment horizontal="left" vertical="top" wrapText="1"/>
    </xf>
    <xf numFmtId="0" fontId="21" fillId="0" borderId="0" xfId="0" applyFont="1" applyAlignment="1">
      <alignment horizontal="left" vertical="top"/>
    </xf>
    <xf numFmtId="0" fontId="0" fillId="0" borderId="1" xfId="0" applyBorder="1" applyAlignment="1">
      <alignment horizontal="left" vertical="top"/>
    </xf>
    <xf numFmtId="0" fontId="22" fillId="5" borderId="0" xfId="0" applyFont="1" applyFill="1" applyAlignment="1">
      <alignment horizontal="left" vertical="top" wrapText="1"/>
    </xf>
    <xf numFmtId="0" fontId="5" fillId="0" borderId="0" xfId="0" applyFont="1" applyAlignment="1">
      <alignment horizontal="left" vertical="top" wrapText="1"/>
    </xf>
    <xf numFmtId="0" fontId="0" fillId="0" borderId="0" xfId="0" applyAlignment="1">
      <alignment horizontal="left" vertical="top" wrapText="1"/>
    </xf>
    <xf numFmtId="0" fontId="24" fillId="0" borderId="1" xfId="0" applyFont="1" applyBorder="1" applyAlignment="1">
      <alignment horizontal="left" vertical="center" wrapText="1"/>
    </xf>
    <xf numFmtId="0" fontId="25" fillId="4" borderId="1" xfId="0" applyFont="1" applyFill="1" applyBorder="1" applyAlignment="1">
      <alignment horizontal="left" vertical="top"/>
    </xf>
    <xf numFmtId="0" fontId="26" fillId="3" borderId="2" xfId="0" applyFont="1" applyFill="1" applyBorder="1" applyAlignment="1">
      <alignment horizontal="left" vertical="top" wrapText="1"/>
    </xf>
    <xf numFmtId="0" fontId="27" fillId="3" borderId="3" xfId="18" applyFont="1" applyFill="1" applyBorder="1" applyAlignment="1">
      <alignment horizontal="left" vertical="top" wrapText="1"/>
    </xf>
    <xf numFmtId="0" fontId="27" fillId="3" borderId="2" xfId="18" applyFont="1" applyFill="1" applyBorder="1" applyAlignment="1">
      <alignment horizontal="left" vertical="top" wrapText="1"/>
    </xf>
    <xf numFmtId="0" fontId="27" fillId="3" borderId="1" xfId="18" applyFont="1" applyFill="1" applyBorder="1" applyAlignment="1">
      <alignment horizontal="left" vertical="top" wrapText="1"/>
    </xf>
    <xf numFmtId="0" fontId="28" fillId="0" borderId="1" xfId="0" applyFont="1" applyBorder="1" applyAlignment="1">
      <alignment horizontal="left" vertical="top" wrapText="1"/>
    </xf>
    <xf numFmtId="0" fontId="5" fillId="0" borderId="1" xfId="0" applyFont="1" applyBorder="1" applyAlignment="1">
      <alignment horizontal="left" vertical="top" wrapText="1"/>
    </xf>
    <xf numFmtId="0" fontId="5" fillId="0" borderId="4" xfId="0" applyFont="1" applyBorder="1" applyAlignment="1">
      <alignment horizontal="left" vertical="top" wrapText="1"/>
    </xf>
    <xf numFmtId="0" fontId="5" fillId="0" borderId="0" xfId="0" applyFont="1" applyAlignment="1">
      <alignment horizontal="left" vertical="top" wrapText="1"/>
    </xf>
    <xf numFmtId="0" fontId="12" fillId="0" borderId="0" xfId="0" applyFont="1" applyAlignment="1">
      <alignment horizontal="left" vertical="top" wrapText="1"/>
    </xf>
  </cellXfs>
  <cellStyles count="25">
    <cellStyle name="Followed Hyperlink" xfId="8" builtinId="9" hidden="1"/>
    <cellStyle name="Followed Hyperlink" xfId="11" builtinId="9" hidden="1"/>
    <cellStyle name="Followed Hyperlink" xfId="14" builtinId="9" hidden="1"/>
    <cellStyle name="Followed Hyperlink" xfId="13" builtinId="9" hidden="1"/>
    <cellStyle name="Followed Hyperlink" xfId="12" builtinId="9" hidden="1"/>
    <cellStyle name="Followed Hyperlink" xfId="16" builtinId="9" hidden="1"/>
    <cellStyle name="Followed Hyperlink" xfId="6" builtinId="9" hidden="1"/>
    <cellStyle name="Followed Hyperlink" xfId="1" builtinId="9" hidden="1"/>
    <cellStyle name="Followed Hyperlink" xfId="4" builtinId="9" hidden="1"/>
    <cellStyle name="Followed Hyperlink" xfId="17" builtinId="9" hidden="1"/>
    <cellStyle name="Followed Hyperlink" xfId="15" builtinId="9" hidden="1"/>
    <cellStyle name="Followed Hyperlink" xfId="5" builtinId="9" hidden="1"/>
    <cellStyle name="Followed Hyperlink" xfId="9" builtinId="9" hidden="1"/>
    <cellStyle name="Followed Hyperlink" xfId="3" builtinId="9" hidden="1"/>
    <cellStyle name="Followed Hyperlink" xfId="2" builtinId="9" hidden="1"/>
    <cellStyle name="Followed Hyperlink" xfId="7" builtinId="9" hidden="1"/>
    <cellStyle name="Followed Hyperlink" xfId="10" builtinId="9" hidden="1"/>
    <cellStyle name="Normal" xfId="0" builtinId="0"/>
    <cellStyle name="Normal 2" xfId="20" xr:uid="{00000000-0005-0000-0000-000012000000}"/>
    <cellStyle name="Normal 2 2" xfId="18" xr:uid="{00000000-0005-0000-0000-000013000000}"/>
    <cellStyle name="Normal 3" xfId="19" xr:uid="{00000000-0005-0000-0000-000014000000}"/>
    <cellStyle name="Normal 3 2" xfId="22" xr:uid="{00000000-0005-0000-0000-000015000000}"/>
    <cellStyle name="Normal 4" xfId="21" xr:uid="{00000000-0005-0000-0000-000016000000}"/>
    <cellStyle name="Normal 6" xfId="23" xr:uid="{00000000-0005-0000-0000-000017000000}"/>
    <cellStyle name="Percent" xfId="24" builtinId="5"/>
  </cellStyles>
  <dxfs count="4">
    <dxf>
      <font>
        <color theme="0"/>
      </font>
      <fill>
        <patternFill>
          <bgColor rgb="FFFF5050"/>
        </patternFill>
      </fill>
    </dxf>
    <dxf>
      <font>
        <color rgb="FF5B6770"/>
      </font>
      <fill>
        <patternFill>
          <bgColor rgb="FFFFFF00"/>
        </patternFill>
      </fill>
    </dxf>
    <dxf>
      <font>
        <color rgb="FF5B6770"/>
      </font>
      <fill>
        <patternFill>
          <bgColor rgb="FF92D050"/>
        </patternFill>
      </fill>
    </dxf>
    <dxf>
      <font>
        <color theme="0"/>
      </font>
      <fill>
        <patternFill>
          <bgColor theme="9" tint="-0.24994659260841701"/>
        </patternFill>
      </fill>
    </dxf>
  </dxfs>
  <tableStyles count="0" defaultTableStyle="TableStyleMedium9" defaultPivotStyle="PivotStyleLight16"/>
  <colors>
    <mruColors>
      <color rgb="FF7EE8FF"/>
      <color rgb="FFC59EE2"/>
      <color rgb="FF92D050"/>
      <color rgb="FFFFFF00"/>
      <color rgb="FFFF5050"/>
      <color rgb="FF5B6770"/>
      <color rgb="FF7C878E"/>
      <color rgb="FFCC99FF"/>
      <color rgb="FF9999F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r>
              <a:rPr lang="en-US"/>
              <a:t>Vulnerabilities by Severity</a:t>
            </a:r>
          </a:p>
        </c:rich>
      </c:tx>
      <c:overlay val="0"/>
      <c:spPr>
        <a:noFill/>
        <a:ln>
          <a:noFill/>
        </a:ln>
        <a:effectLst/>
      </c:spPr>
      <c:txPr>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5466120964074579E-2"/>
          <c:y val="0.20277796797139488"/>
          <c:w val="0.95998180991359705"/>
          <c:h val="0.68515310586176725"/>
        </c:manualLayout>
      </c:layout>
      <c:barChart>
        <c:barDir val="col"/>
        <c:grouping val="stacked"/>
        <c:varyColors val="0"/>
        <c:ser>
          <c:idx val="0"/>
          <c:order val="0"/>
          <c:spPr>
            <a:solidFill>
              <a:schemeClr val="accent1">
                <a:alpha val="70000"/>
              </a:schemeClr>
            </a:solidFill>
            <a:ln>
              <a:noFill/>
            </a:ln>
            <a:effectLst/>
          </c:spPr>
          <c:invertIfNegative val="0"/>
          <c:dPt>
            <c:idx val="0"/>
            <c:invertIfNegative val="0"/>
            <c:bubble3D val="0"/>
            <c:spPr>
              <a:solidFill>
                <a:srgbClr val="FF5050"/>
              </a:solidFill>
              <a:ln>
                <a:noFill/>
              </a:ln>
              <a:effectLst/>
            </c:spPr>
            <c:extLst>
              <c:ext xmlns:c16="http://schemas.microsoft.com/office/drawing/2014/chart" uri="{C3380CC4-5D6E-409C-BE32-E72D297353CC}">
                <c16:uniqueId val="{00000003-AA9B-4427-8029-4C86EC3B0DB9}"/>
              </c:ext>
            </c:extLst>
          </c:dPt>
          <c:dPt>
            <c:idx val="1"/>
            <c:invertIfNegative val="0"/>
            <c:bubble3D val="0"/>
            <c:spPr>
              <a:solidFill>
                <a:srgbClr val="FFFF00"/>
              </a:solidFill>
              <a:ln>
                <a:noFill/>
              </a:ln>
              <a:effectLst/>
            </c:spPr>
            <c:extLst>
              <c:ext xmlns:c16="http://schemas.microsoft.com/office/drawing/2014/chart" uri="{C3380CC4-5D6E-409C-BE32-E72D297353CC}">
                <c16:uniqueId val="{00000002-AA9B-4427-8029-4C86EC3B0DB9}"/>
              </c:ext>
            </c:extLst>
          </c:dPt>
          <c:dPt>
            <c:idx val="2"/>
            <c:invertIfNegative val="0"/>
            <c:bubble3D val="0"/>
            <c:spPr>
              <a:solidFill>
                <a:srgbClr val="92D050"/>
              </a:solidFill>
              <a:ln>
                <a:noFill/>
              </a:ln>
              <a:effectLst/>
            </c:spPr>
            <c:extLst>
              <c:ext xmlns:c16="http://schemas.microsoft.com/office/drawing/2014/chart" uri="{C3380CC4-5D6E-409C-BE32-E72D297353CC}">
                <c16:uniqueId val="{00000001-AA9B-4427-8029-4C86EC3B0DB9}"/>
              </c:ext>
            </c:extLst>
          </c:dPt>
          <c:dPt>
            <c:idx val="3"/>
            <c:invertIfNegative val="0"/>
            <c:bubble3D val="0"/>
            <c:spPr>
              <a:solidFill>
                <a:srgbClr val="7EE8FF"/>
              </a:solidFill>
              <a:ln>
                <a:noFill/>
              </a:ln>
              <a:effectLst/>
            </c:spPr>
            <c:extLst>
              <c:ext xmlns:c16="http://schemas.microsoft.com/office/drawing/2014/chart" uri="{C3380CC4-5D6E-409C-BE32-E72D297353CC}">
                <c16:uniqueId val="{00000000-AA9B-4427-8029-4C86EC3B0DB9}"/>
              </c:ext>
            </c:extLst>
          </c:dPt>
          <c:dPt>
            <c:idx val="4"/>
            <c:invertIfNegative val="0"/>
            <c:bubble3D val="0"/>
            <c:spPr>
              <a:solidFill>
                <a:srgbClr val="7EE8FF"/>
              </a:solidFill>
              <a:ln>
                <a:noFill/>
              </a:ln>
              <a:effectLst/>
            </c:spPr>
            <c:extLst>
              <c:ext xmlns:c16="http://schemas.microsoft.com/office/drawing/2014/chart" uri="{C3380CC4-5D6E-409C-BE32-E72D297353CC}">
                <c16:uniqueId val="{00000009-44A7-453F-8C61-358AD6C7E9F8}"/>
              </c:ext>
            </c:extLst>
          </c:dPt>
          <c:dLbls>
            <c:delete val="1"/>
          </c:dLbls>
          <c:cat>
            <c:strRef>
              <c:f>Dashboard!$B$5:$B$7</c:f>
              <c:strCache>
                <c:ptCount val="3"/>
                <c:pt idx="0">
                  <c:v>High Severity Vulnerabilities </c:v>
                </c:pt>
                <c:pt idx="1">
                  <c:v>Moderate Severity Vulnerabilities </c:v>
                </c:pt>
                <c:pt idx="2">
                  <c:v>Low Severity Vulnerabilities</c:v>
                </c:pt>
              </c:strCache>
            </c:strRef>
          </c:cat>
          <c:val>
            <c:numRef>
              <c:f>Dashboard!$C$5:$C$7</c:f>
              <c:numCache>
                <c:formatCode>General</c:formatCode>
                <c:ptCount val="3"/>
                <c:pt idx="0">
                  <c:v>8</c:v>
                </c:pt>
                <c:pt idx="1">
                  <c:v>8</c:v>
                </c:pt>
                <c:pt idx="2">
                  <c:v>4</c:v>
                </c:pt>
              </c:numCache>
            </c:numRef>
          </c:val>
          <c:extLst>
            <c:ext xmlns:c16="http://schemas.microsoft.com/office/drawing/2014/chart" uri="{C3380CC4-5D6E-409C-BE32-E72D297353CC}">
              <c16:uniqueId val="{0000000C-A69C-48E3-86D9-801CEF81C6C6}"/>
            </c:ext>
          </c:extLst>
        </c:ser>
        <c:dLbls>
          <c:showLegendKey val="0"/>
          <c:showVal val="1"/>
          <c:showCatName val="0"/>
          <c:showSerName val="0"/>
          <c:showPercent val="0"/>
          <c:showBubbleSize val="0"/>
        </c:dLbls>
        <c:gapWidth val="95"/>
        <c:overlap val="100"/>
        <c:axId val="439586143"/>
        <c:axId val="812683087"/>
      </c:barChart>
      <c:catAx>
        <c:axId val="439586143"/>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683087"/>
        <c:crosses val="autoZero"/>
        <c:auto val="1"/>
        <c:lblAlgn val="ctr"/>
        <c:lblOffset val="100"/>
        <c:noMultiLvlLbl val="0"/>
      </c:catAx>
      <c:valAx>
        <c:axId val="812683087"/>
        <c:scaling>
          <c:orientation val="minMax"/>
        </c:scaling>
        <c:delete val="1"/>
        <c:axPos val="l"/>
        <c:numFmt formatCode="General" sourceLinked="1"/>
        <c:majorTickMark val="out"/>
        <c:minorTickMark val="none"/>
        <c:tickLblPos val="nextTo"/>
        <c:crossAx val="4395861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95250</xdr:colOff>
      <xdr:row>1</xdr:row>
      <xdr:rowOff>209550</xdr:rowOff>
    </xdr:from>
    <xdr:to>
      <xdr:col>13</xdr:col>
      <xdr:colOff>276225</xdr:colOff>
      <xdr:row>18</xdr:row>
      <xdr:rowOff>57150</xdr:rowOff>
    </xdr:to>
    <xdr:graphicFrame macro="">
      <xdr:nvGraphicFramePr>
        <xdr:cNvPr id="5" name="Chart 4" descr="A bar graph with three bars, each in a different colour, but the same size. Red represents high security vulnerabilities. Yellow represents moderate security vulnerabilities. Green represents low security vulnerabilities.">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D4A99-20FA-4AC7-A1EF-B48835DA0EC4}">
  <dimension ref="A2:K21"/>
  <sheetViews>
    <sheetView showGridLines="0" workbookViewId="0">
      <selection activeCell="D2" sqref="D2:K21"/>
    </sheetView>
  </sheetViews>
  <sheetFormatPr defaultRowHeight="13.15" x14ac:dyDescent="0.4"/>
  <cols>
    <col min="1" max="1" width="110.35546875" style="22" customWidth="1"/>
  </cols>
  <sheetData>
    <row r="2" spans="1:11" ht="12.75" customHeight="1" x14ac:dyDescent="0.4">
      <c r="A2" s="20" t="s">
        <v>0</v>
      </c>
      <c r="D2" s="31" t="s">
        <v>1</v>
      </c>
      <c r="E2" s="31"/>
      <c r="F2" s="31"/>
      <c r="G2" s="31"/>
      <c r="H2" s="31"/>
      <c r="I2" s="31"/>
      <c r="J2" s="31"/>
      <c r="K2" s="31"/>
    </row>
    <row r="3" spans="1:11" ht="39.4" x14ac:dyDescent="0.4">
      <c r="A3" s="21" t="s">
        <v>2</v>
      </c>
      <c r="D3" s="32"/>
      <c r="E3" s="32"/>
      <c r="F3" s="32"/>
      <c r="G3" s="32"/>
      <c r="H3" s="32"/>
      <c r="I3" s="32"/>
      <c r="J3" s="32"/>
      <c r="K3" s="32"/>
    </row>
    <row r="4" spans="1:11" ht="12.75" customHeight="1" x14ac:dyDescent="0.4">
      <c r="D4" s="32"/>
      <c r="E4" s="32"/>
      <c r="F4" s="32"/>
      <c r="G4" s="32"/>
      <c r="H4" s="32"/>
      <c r="I4" s="32"/>
      <c r="J4" s="32"/>
      <c r="K4" s="32"/>
    </row>
    <row r="5" spans="1:11" x14ac:dyDescent="0.4">
      <c r="A5" s="20" t="s">
        <v>3</v>
      </c>
      <c r="D5" s="32"/>
      <c r="E5" s="32"/>
      <c r="F5" s="32"/>
      <c r="G5" s="32"/>
      <c r="H5" s="32"/>
      <c r="I5" s="32"/>
      <c r="J5" s="32"/>
      <c r="K5" s="32"/>
    </row>
    <row r="6" spans="1:11" ht="26.25" x14ac:dyDescent="0.4">
      <c r="A6" s="21" t="s">
        <v>4</v>
      </c>
      <c r="D6" s="32"/>
      <c r="E6" s="32"/>
      <c r="F6" s="32"/>
      <c r="G6" s="32"/>
      <c r="H6" s="32"/>
      <c r="I6" s="32"/>
      <c r="J6" s="32"/>
      <c r="K6" s="32"/>
    </row>
    <row r="7" spans="1:11" x14ac:dyDescent="0.4">
      <c r="D7" s="32"/>
      <c r="E7" s="32"/>
      <c r="F7" s="32"/>
      <c r="G7" s="32"/>
      <c r="H7" s="32"/>
      <c r="I7" s="32"/>
      <c r="J7" s="32"/>
      <c r="K7" s="32"/>
    </row>
    <row r="8" spans="1:11" x14ac:dyDescent="0.4">
      <c r="A8" s="20" t="s">
        <v>5</v>
      </c>
      <c r="D8" s="32"/>
      <c r="E8" s="32"/>
      <c r="F8" s="32"/>
      <c r="G8" s="32"/>
      <c r="H8" s="32"/>
      <c r="I8" s="32"/>
      <c r="J8" s="32"/>
      <c r="K8" s="32"/>
    </row>
    <row r="9" spans="1:11" x14ac:dyDescent="0.4">
      <c r="A9" s="21" t="s">
        <v>6</v>
      </c>
      <c r="D9" s="32"/>
      <c r="E9" s="32"/>
      <c r="F9" s="32"/>
      <c r="G9" s="32"/>
      <c r="H9" s="32"/>
      <c r="I9" s="32"/>
      <c r="J9" s="32"/>
      <c r="K9" s="32"/>
    </row>
    <row r="10" spans="1:11" x14ac:dyDescent="0.4">
      <c r="A10" s="21"/>
      <c r="D10" s="32"/>
      <c r="E10" s="32"/>
      <c r="F10" s="32"/>
      <c r="G10" s="32"/>
      <c r="H10" s="32"/>
      <c r="I10" s="32"/>
      <c r="J10" s="32"/>
      <c r="K10" s="32"/>
    </row>
    <row r="11" spans="1:11" x14ac:dyDescent="0.4">
      <c r="A11" s="21" t="s">
        <v>7</v>
      </c>
      <c r="D11" s="32"/>
      <c r="E11" s="32"/>
      <c r="F11" s="32"/>
      <c r="G11" s="32"/>
      <c r="H11" s="32"/>
      <c r="I11" s="32"/>
      <c r="J11" s="32"/>
      <c r="K11" s="32"/>
    </row>
    <row r="12" spans="1:11" x14ac:dyDescent="0.4">
      <c r="A12" s="21"/>
      <c r="D12" s="32"/>
      <c r="E12" s="32"/>
      <c r="F12" s="32"/>
      <c r="G12" s="32"/>
      <c r="H12" s="32"/>
      <c r="I12" s="32"/>
      <c r="J12" s="32"/>
      <c r="K12" s="32"/>
    </row>
    <row r="13" spans="1:11" ht="39.4" x14ac:dyDescent="0.4">
      <c r="A13" s="21" t="s">
        <v>8</v>
      </c>
      <c r="D13" s="32"/>
      <c r="E13" s="32"/>
      <c r="F13" s="32"/>
      <c r="G13" s="32"/>
      <c r="H13" s="32"/>
      <c r="I13" s="32"/>
      <c r="J13" s="32"/>
      <c r="K13" s="32"/>
    </row>
    <row r="14" spans="1:11" x14ac:dyDescent="0.4">
      <c r="D14" s="32"/>
      <c r="E14" s="32"/>
      <c r="F14" s="32"/>
      <c r="G14" s="32"/>
      <c r="H14" s="32"/>
      <c r="I14" s="32"/>
      <c r="J14" s="32"/>
      <c r="K14" s="32"/>
    </row>
    <row r="15" spans="1:11" ht="26.25" x14ac:dyDescent="0.4">
      <c r="A15" s="21" t="s">
        <v>9</v>
      </c>
      <c r="D15" s="32"/>
      <c r="E15" s="32"/>
      <c r="F15" s="32"/>
      <c r="G15" s="32"/>
      <c r="H15" s="32"/>
      <c r="I15" s="32"/>
      <c r="J15" s="32"/>
      <c r="K15" s="32"/>
    </row>
    <row r="16" spans="1:11" ht="26.25" x14ac:dyDescent="0.4">
      <c r="A16" s="21" t="s">
        <v>10</v>
      </c>
      <c r="D16" s="32"/>
      <c r="E16" s="32"/>
      <c r="F16" s="32"/>
      <c r="G16" s="32"/>
      <c r="H16" s="32"/>
      <c r="I16" s="32"/>
      <c r="J16" s="32"/>
      <c r="K16" s="32"/>
    </row>
    <row r="17" spans="4:11" x14ac:dyDescent="0.4">
      <c r="D17" s="32"/>
      <c r="E17" s="32"/>
      <c r="F17" s="32"/>
      <c r="G17" s="32"/>
      <c r="H17" s="32"/>
      <c r="I17" s="32"/>
      <c r="J17" s="32"/>
      <c r="K17" s="32"/>
    </row>
    <row r="18" spans="4:11" x14ac:dyDescent="0.4">
      <c r="D18" s="32"/>
      <c r="E18" s="32"/>
      <c r="F18" s="32"/>
      <c r="G18" s="32"/>
      <c r="H18" s="32"/>
      <c r="I18" s="32"/>
      <c r="J18" s="32"/>
      <c r="K18" s="32"/>
    </row>
    <row r="19" spans="4:11" x14ac:dyDescent="0.4">
      <c r="D19" s="32"/>
      <c r="E19" s="32"/>
      <c r="F19" s="32"/>
      <c r="G19" s="32"/>
      <c r="H19" s="32"/>
      <c r="I19" s="32"/>
      <c r="J19" s="32"/>
      <c r="K19" s="32"/>
    </row>
    <row r="20" spans="4:11" x14ac:dyDescent="0.4">
      <c r="D20" s="32"/>
      <c r="E20" s="32"/>
      <c r="F20" s="32"/>
      <c r="G20" s="32"/>
      <c r="H20" s="32"/>
      <c r="I20" s="32"/>
      <c r="J20" s="32"/>
      <c r="K20" s="32"/>
    </row>
    <row r="21" spans="4:11" x14ac:dyDescent="0.4">
      <c r="D21" s="32"/>
      <c r="E21" s="32"/>
      <c r="F21" s="32"/>
      <c r="G21" s="32"/>
      <c r="H21" s="32"/>
      <c r="I21" s="32"/>
      <c r="J21" s="32"/>
      <c r="K21" s="32"/>
    </row>
  </sheetData>
  <mergeCells count="1">
    <mergeCell ref="D2:K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P41"/>
  <sheetViews>
    <sheetView showGridLines="0" zoomScale="70" zoomScaleNormal="70" workbookViewId="0">
      <selection activeCell="E32" sqref="E32"/>
    </sheetView>
  </sheetViews>
  <sheetFormatPr defaultColWidth="9" defaultRowHeight="13.15" x14ac:dyDescent="0.4"/>
  <cols>
    <col min="1" max="1" width="9.5" customWidth="1"/>
    <col min="2" max="2" width="34.140625" customWidth="1"/>
    <col min="3" max="3" width="10.140625" bestFit="1" customWidth="1"/>
    <col min="4" max="4" width="6.140625" bestFit="1" customWidth="1"/>
    <col min="5" max="5" width="11.140625" bestFit="1" customWidth="1"/>
    <col min="6" max="6" width="6.140625" bestFit="1" customWidth="1"/>
    <col min="7" max="7" width="13.640625" bestFit="1" customWidth="1"/>
    <col min="8" max="8" width="18.35546875" customWidth="1"/>
    <col min="9" max="10" width="12.85546875" customWidth="1"/>
    <col min="11" max="11" width="32.35546875" bestFit="1" customWidth="1"/>
    <col min="12" max="12" width="22" customWidth="1"/>
    <col min="13" max="20" width="12.85546875" customWidth="1"/>
    <col min="21" max="21" width="17.5" bestFit="1" customWidth="1"/>
    <col min="22" max="40" width="12.85546875" customWidth="1"/>
    <col min="41" max="41" width="26" customWidth="1"/>
    <col min="42" max="42" width="21.85546875" customWidth="1"/>
    <col min="43" max="43" width="14.35546875" customWidth="1"/>
    <col min="44" max="44" width="18.640625" customWidth="1"/>
    <col min="45" max="45" width="13.640625" customWidth="1"/>
    <col min="46" max="46" width="26" customWidth="1"/>
    <col min="47" max="47" width="23.35546875" customWidth="1"/>
    <col min="48" max="48" width="16.140625" customWidth="1"/>
    <col min="49" max="49" width="20.140625" customWidth="1"/>
    <col min="50" max="50" width="15.140625" customWidth="1"/>
    <col min="51" max="51" width="27.640625" customWidth="1"/>
    <col min="52" max="52" width="21.85546875" bestFit="1" customWidth="1"/>
    <col min="53" max="53" width="14.35546875" customWidth="1"/>
    <col min="54" max="54" width="18.640625" customWidth="1"/>
    <col min="55" max="55" width="13.640625" customWidth="1"/>
    <col min="56" max="56" width="26" customWidth="1"/>
    <col min="57" max="57" width="23.35546875" customWidth="1"/>
    <col min="58" max="58" width="16.140625" customWidth="1"/>
    <col min="59" max="59" width="20.140625" customWidth="1"/>
    <col min="60" max="60" width="15.140625" customWidth="1"/>
    <col min="61" max="61" width="27.640625" customWidth="1"/>
    <col min="62" max="62" width="23.35546875" bestFit="1" customWidth="1"/>
    <col min="63" max="63" width="16.140625" bestFit="1" customWidth="1"/>
    <col min="64" max="64" width="20.140625" bestFit="1" customWidth="1"/>
    <col min="65" max="65" width="15.140625" customWidth="1"/>
    <col min="66" max="66" width="27.640625" bestFit="1" customWidth="1"/>
    <col min="67" max="67" width="21.85546875" customWidth="1"/>
    <col min="68" max="68" width="14.35546875" customWidth="1"/>
    <col min="69" max="69" width="18.640625" customWidth="1"/>
    <col min="70" max="70" width="13.640625" customWidth="1"/>
    <col min="71" max="71" width="26" customWidth="1"/>
    <col min="72" max="72" width="23.35546875" bestFit="1" customWidth="1"/>
    <col min="73" max="73" width="16.140625" customWidth="1"/>
    <col min="74" max="74" width="20.140625" customWidth="1"/>
    <col min="75" max="75" width="15.140625" customWidth="1"/>
    <col min="76" max="76" width="27.640625" customWidth="1"/>
    <col min="77" max="77" width="23.35546875" bestFit="1" customWidth="1"/>
    <col min="78" max="78" width="16.140625" customWidth="1"/>
    <col min="79" max="79" width="20.140625" bestFit="1" customWidth="1"/>
    <col min="80" max="80" width="15.140625" customWidth="1"/>
    <col min="81" max="81" width="27.640625" bestFit="1" customWidth="1"/>
    <col min="82" max="82" width="27.140625" bestFit="1" customWidth="1"/>
    <col min="83" max="83" width="19.85546875" bestFit="1" customWidth="1"/>
    <col min="84" max="84" width="24" bestFit="1" customWidth="1"/>
    <col min="85" max="85" width="19" bestFit="1" customWidth="1"/>
    <col min="86" max="86" width="31.140625" bestFit="1" customWidth="1"/>
    <col min="87" max="87" width="21.85546875" customWidth="1"/>
    <col min="88" max="88" width="14.35546875" customWidth="1"/>
    <col min="89" max="89" width="18.640625" customWidth="1"/>
    <col min="90" max="90" width="13.640625" customWidth="1"/>
    <col min="91" max="91" width="26" customWidth="1"/>
    <col min="92" max="92" width="21.85546875" bestFit="1" customWidth="1"/>
    <col min="93" max="93" width="14.35546875" customWidth="1"/>
    <col min="94" max="94" width="18.640625" customWidth="1"/>
    <col min="95" max="95" width="13.640625" customWidth="1"/>
    <col min="96" max="96" width="26" bestFit="1" customWidth="1"/>
    <col min="97" max="97" width="23.35546875" bestFit="1" customWidth="1"/>
    <col min="98" max="98" width="16.140625" customWidth="1"/>
    <col min="99" max="99" width="20.140625" customWidth="1"/>
    <col min="100" max="100" width="15.140625" customWidth="1"/>
    <col min="101" max="101" width="27.640625" bestFit="1" customWidth="1"/>
    <col min="102" max="102" width="23.35546875" bestFit="1" customWidth="1"/>
    <col min="103" max="103" width="16.140625" bestFit="1" customWidth="1"/>
    <col min="104" max="104" width="20.140625" bestFit="1" customWidth="1"/>
    <col min="105" max="105" width="15.140625" bestFit="1" customWidth="1"/>
    <col min="106" max="106" width="27.640625" bestFit="1" customWidth="1"/>
    <col min="107" max="107" width="23.35546875" bestFit="1" customWidth="1"/>
    <col min="108" max="108" width="16.140625" bestFit="1" customWidth="1"/>
    <col min="109" max="109" width="20.140625" bestFit="1" customWidth="1"/>
    <col min="110" max="110" width="15.140625" bestFit="1" customWidth="1"/>
    <col min="111" max="111" width="27.640625" bestFit="1" customWidth="1"/>
    <col min="112" max="112" width="27.140625" bestFit="1" customWidth="1"/>
    <col min="113" max="113" width="19.85546875" bestFit="1" customWidth="1"/>
    <col min="114" max="114" width="24" bestFit="1" customWidth="1"/>
    <col min="115" max="115" width="19" bestFit="1" customWidth="1"/>
    <col min="116" max="116" width="31.140625" bestFit="1" customWidth="1"/>
    <col min="117" max="117" width="23.35546875" bestFit="1" customWidth="1"/>
    <col min="118" max="118" width="16.140625" bestFit="1" customWidth="1"/>
    <col min="119" max="119" width="20.140625" bestFit="1" customWidth="1"/>
    <col min="120" max="120" width="15.140625" bestFit="1" customWidth="1"/>
    <col min="121" max="121" width="27.640625" bestFit="1" customWidth="1"/>
    <col min="122" max="122" width="27.140625" bestFit="1" customWidth="1"/>
    <col min="123" max="123" width="19.85546875" bestFit="1" customWidth="1"/>
    <col min="124" max="124" width="24" bestFit="1" customWidth="1"/>
    <col min="125" max="125" width="19" bestFit="1" customWidth="1"/>
    <col min="126" max="126" width="31.140625" bestFit="1" customWidth="1"/>
  </cols>
  <sheetData>
    <row r="1" spans="2:16" ht="23.25" customHeight="1" x14ac:dyDescent="0.4">
      <c r="C1" s="6"/>
      <c r="D1" s="33"/>
      <c r="E1" s="33"/>
      <c r="F1" s="33"/>
      <c r="G1" s="33"/>
      <c r="H1" s="33"/>
      <c r="I1" s="33"/>
      <c r="J1" s="5"/>
      <c r="K1" s="5"/>
      <c r="L1" s="6"/>
      <c r="M1" s="6"/>
      <c r="N1" s="6"/>
      <c r="O1" s="6"/>
      <c r="P1" s="6"/>
    </row>
    <row r="2" spans="2:16" ht="27.75" customHeight="1" x14ac:dyDescent="0.4"/>
    <row r="3" spans="2:16" ht="26.25" customHeight="1" x14ac:dyDescent="0.4">
      <c r="B3" s="14" t="s">
        <v>11</v>
      </c>
      <c r="C3" s="4">
        <f>SUM(C4:C7)</f>
        <v>20</v>
      </c>
    </row>
    <row r="4" spans="2:16" x14ac:dyDescent="0.4">
      <c r="B4" s="23" t="s">
        <v>12</v>
      </c>
      <c r="C4" s="7">
        <f>COUNTIF(Vulnerabilities!C:C,"Critical")</f>
        <v>0</v>
      </c>
    </row>
    <row r="5" spans="2:16" x14ac:dyDescent="0.4">
      <c r="B5" s="15" t="s">
        <v>13</v>
      </c>
      <c r="C5" s="7">
        <f>COUNTIF(Vulnerabilities!C:C,"High")</f>
        <v>8</v>
      </c>
    </row>
    <row r="6" spans="2:16" x14ac:dyDescent="0.4">
      <c r="B6" s="15" t="s">
        <v>14</v>
      </c>
      <c r="C6" s="7">
        <f>COUNTIF(Vulnerabilities!C:C,"Moderate")</f>
        <v>8</v>
      </c>
    </row>
    <row r="7" spans="2:16" x14ac:dyDescent="0.4">
      <c r="B7" s="15" t="s">
        <v>15</v>
      </c>
      <c r="C7" s="7">
        <f>COUNTIF(Vulnerabilities!C:C,"Low")</f>
        <v>4</v>
      </c>
    </row>
    <row r="11" spans="2:16" ht="19.899999999999999" x14ac:dyDescent="0.4">
      <c r="C11">
        <v>20</v>
      </c>
      <c r="O11" s="18" t="s">
        <v>16</v>
      </c>
    </row>
    <row r="37" spans="11:16" ht="14.25" x14ac:dyDescent="0.45">
      <c r="K37" s="8"/>
      <c r="L37" s="9"/>
    </row>
    <row r="39" spans="11:16" x14ac:dyDescent="0.4">
      <c r="O39" s="9"/>
    </row>
    <row r="40" spans="11:16" x14ac:dyDescent="0.4">
      <c r="O40" s="10"/>
      <c r="P40" s="11"/>
    </row>
    <row r="41" spans="11:16" x14ac:dyDescent="0.4">
      <c r="O41" s="10"/>
      <c r="P41" s="11"/>
    </row>
  </sheetData>
  <sheetProtection pivotTables="0"/>
  <mergeCells count="1">
    <mergeCell ref="D1:I1"/>
  </mergeCells>
  <pageMargins left="0.25" right="0.25" top="0.75" bottom="0.75" header="0.3" footer="0.3"/>
  <pageSetup orientation="landscape" r:id="rId1"/>
  <headerFooter>
    <oddHeader>&amp;L&amp;"Arial,Regular"&amp;9Citrix XenApp &amp; XenDesktop FedRAMP Gap Analysis Report</oddHeader>
    <oddFooter>&amp;L&amp;"Arial,Regular"&amp;9December 23, 2016&amp;C&amp;"Arial,Bold"&amp;KFF0000SENSITIVE INFORMATION&amp;R&amp;"Arial,Regular"R-&amp;P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2CB32-B29E-4AF5-8025-4090FBC212D6}">
  <dimension ref="A1:B15"/>
  <sheetViews>
    <sheetView showGridLines="0" workbookViewId="0">
      <selection activeCell="B22" sqref="B22"/>
    </sheetView>
  </sheetViews>
  <sheetFormatPr defaultRowHeight="13.15" x14ac:dyDescent="0.4"/>
  <cols>
    <col min="1" max="1" width="27.5" bestFit="1" customWidth="1"/>
    <col min="2" max="2" width="88.640625" customWidth="1"/>
  </cols>
  <sheetData>
    <row r="1" spans="1:2" x14ac:dyDescent="0.4">
      <c r="A1" s="24" t="s">
        <v>17</v>
      </c>
      <c r="B1" s="19" t="s">
        <v>29</v>
      </c>
    </row>
    <row r="2" spans="1:2" x14ac:dyDescent="0.4">
      <c r="A2" s="24" t="s">
        <v>18</v>
      </c>
      <c r="B2" s="19" t="s">
        <v>33</v>
      </c>
    </row>
    <row r="3" spans="1:2" x14ac:dyDescent="0.4">
      <c r="A3" s="24" t="s">
        <v>19</v>
      </c>
      <c r="B3" s="19" t="s">
        <v>34</v>
      </c>
    </row>
    <row r="5" spans="1:2" x14ac:dyDescent="0.4">
      <c r="A5" s="24" t="s">
        <v>17</v>
      </c>
      <c r="B5" s="19" t="s">
        <v>30</v>
      </c>
    </row>
    <row r="6" spans="1:2" x14ac:dyDescent="0.4">
      <c r="A6" s="24" t="s">
        <v>18</v>
      </c>
      <c r="B6" s="19" t="s">
        <v>33</v>
      </c>
    </row>
    <row r="7" spans="1:2" x14ac:dyDescent="0.4">
      <c r="A7" s="24" t="s">
        <v>19</v>
      </c>
      <c r="B7" s="19" t="s">
        <v>36</v>
      </c>
    </row>
    <row r="9" spans="1:2" x14ac:dyDescent="0.4">
      <c r="A9" s="24" t="s">
        <v>17</v>
      </c>
      <c r="B9" s="19" t="s">
        <v>31</v>
      </c>
    </row>
    <row r="10" spans="1:2" x14ac:dyDescent="0.4">
      <c r="A10" s="24" t="s">
        <v>18</v>
      </c>
      <c r="B10" s="19"/>
    </row>
    <row r="11" spans="1:2" x14ac:dyDescent="0.4">
      <c r="A11" s="24" t="s">
        <v>19</v>
      </c>
      <c r="B11" s="19" t="s">
        <v>35</v>
      </c>
    </row>
    <row r="13" spans="1:2" x14ac:dyDescent="0.4">
      <c r="A13" s="24" t="s">
        <v>17</v>
      </c>
      <c r="B13" s="19" t="s">
        <v>32</v>
      </c>
    </row>
    <row r="14" spans="1:2" x14ac:dyDescent="0.4">
      <c r="A14" s="24" t="s">
        <v>18</v>
      </c>
      <c r="B14" s="19" t="s">
        <v>33</v>
      </c>
    </row>
    <row r="15" spans="1:2" x14ac:dyDescent="0.4">
      <c r="A15" s="24" t="s">
        <v>19</v>
      </c>
      <c r="B15" s="19" t="s">
        <v>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615"/>
  <sheetViews>
    <sheetView showGridLines="0" tabSelected="1" zoomScale="80" zoomScaleNormal="80" workbookViewId="0">
      <selection activeCell="E29" sqref="E29"/>
    </sheetView>
  </sheetViews>
  <sheetFormatPr defaultColWidth="9.140625" defaultRowHeight="13.15" x14ac:dyDescent="0.4"/>
  <cols>
    <col min="1" max="1" width="4" style="16" bestFit="1" customWidth="1"/>
    <col min="2" max="2" width="50.85546875" style="16" customWidth="1"/>
    <col min="3" max="4" width="25.640625" customWidth="1"/>
    <col min="5" max="5" width="50.85546875" style="16" customWidth="1"/>
    <col min="6" max="6" width="50.85546875" customWidth="1"/>
    <col min="7" max="7" width="98.140625" style="16" customWidth="1"/>
    <col min="8" max="8" width="34.35546875" style="3" customWidth="1"/>
    <col min="9" max="16384" width="9.140625" style="3"/>
  </cols>
  <sheetData>
    <row r="1" spans="1:7" ht="23.25" x14ac:dyDescent="0.4">
      <c r="A1" s="26" t="s">
        <v>20</v>
      </c>
      <c r="B1" s="25" t="s">
        <v>21</v>
      </c>
      <c r="C1" s="27" t="s">
        <v>22</v>
      </c>
      <c r="D1" s="27" t="s">
        <v>23</v>
      </c>
      <c r="E1" s="25" t="s">
        <v>24</v>
      </c>
      <c r="F1" s="28" t="s">
        <v>25</v>
      </c>
      <c r="G1" s="3"/>
    </row>
    <row r="2" spans="1:7" ht="58.15" x14ac:dyDescent="0.4">
      <c r="A2" s="12">
        <v>1</v>
      </c>
      <c r="B2" s="13" t="s">
        <v>89</v>
      </c>
      <c r="C2" s="12" t="s">
        <v>27</v>
      </c>
      <c r="D2" s="12" t="s">
        <v>39</v>
      </c>
      <c r="E2" s="13" t="s">
        <v>45</v>
      </c>
      <c r="F2" s="12" t="s">
        <v>49</v>
      </c>
      <c r="G2" s="3"/>
    </row>
    <row r="3" spans="1:7" ht="151.15" x14ac:dyDescent="0.4">
      <c r="A3" s="12">
        <v>2</v>
      </c>
      <c r="B3" s="13" t="s">
        <v>90</v>
      </c>
      <c r="C3" s="12" t="s">
        <v>27</v>
      </c>
      <c r="D3" s="12" t="s">
        <v>41</v>
      </c>
      <c r="E3" s="13" t="s">
        <v>47</v>
      </c>
      <c r="F3" s="12" t="s">
        <v>97</v>
      </c>
      <c r="G3" s="3"/>
    </row>
    <row r="4" spans="1:7" ht="127.9" x14ac:dyDescent="0.4">
      <c r="A4" s="12">
        <v>3</v>
      </c>
      <c r="B4" s="13" t="s">
        <v>98</v>
      </c>
      <c r="C4" s="12" t="s">
        <v>28</v>
      </c>
      <c r="D4" s="12" t="s">
        <v>37</v>
      </c>
      <c r="E4" s="13" t="s">
        <v>46</v>
      </c>
      <c r="F4" s="12" t="s">
        <v>50</v>
      </c>
      <c r="G4" s="3"/>
    </row>
    <row r="5" spans="1:7" ht="81.400000000000006" x14ac:dyDescent="0.4">
      <c r="A5" s="12">
        <v>4</v>
      </c>
      <c r="B5" s="13" t="s">
        <v>51</v>
      </c>
      <c r="C5" s="12" t="s">
        <v>26</v>
      </c>
      <c r="D5" s="12" t="s">
        <v>39</v>
      </c>
      <c r="E5" s="13" t="s">
        <v>52</v>
      </c>
      <c r="F5" s="12" t="s">
        <v>53</v>
      </c>
      <c r="G5" s="3"/>
    </row>
    <row r="6" spans="1:7" ht="69.75" x14ac:dyDescent="0.4">
      <c r="A6" s="12">
        <v>5</v>
      </c>
      <c r="B6" s="29" t="s">
        <v>92</v>
      </c>
      <c r="C6" s="12" t="s">
        <v>28</v>
      </c>
      <c r="D6" s="12" t="s">
        <v>38</v>
      </c>
      <c r="E6" s="13" t="s">
        <v>91</v>
      </c>
      <c r="F6" s="12" t="s">
        <v>93</v>
      </c>
      <c r="G6" s="3"/>
    </row>
    <row r="7" spans="1:7" ht="104.65" x14ac:dyDescent="0.4">
      <c r="A7" s="12">
        <v>6</v>
      </c>
      <c r="B7" s="29" t="s">
        <v>83</v>
      </c>
      <c r="C7" s="12" t="s">
        <v>28</v>
      </c>
      <c r="D7" s="12" t="s">
        <v>38</v>
      </c>
      <c r="E7" s="13" t="s">
        <v>84</v>
      </c>
      <c r="F7" s="12" t="s">
        <v>85</v>
      </c>
      <c r="G7" s="3"/>
    </row>
    <row r="8" spans="1:7" ht="46.5" x14ac:dyDescent="0.4">
      <c r="A8" s="12">
        <v>7</v>
      </c>
      <c r="B8" s="13" t="s">
        <v>54</v>
      </c>
      <c r="C8" s="12" t="s">
        <v>27</v>
      </c>
      <c r="D8" s="12" t="s">
        <v>41</v>
      </c>
      <c r="E8" s="13" t="s">
        <v>42</v>
      </c>
      <c r="F8" s="12" t="s">
        <v>55</v>
      </c>
      <c r="G8" s="3"/>
    </row>
    <row r="9" spans="1:7" ht="81.400000000000006" x14ac:dyDescent="0.4">
      <c r="A9" s="12">
        <v>8</v>
      </c>
      <c r="B9" s="13" t="s">
        <v>56</v>
      </c>
      <c r="C9" s="12" t="s">
        <v>26</v>
      </c>
      <c r="D9" s="12" t="s">
        <v>38</v>
      </c>
      <c r="E9" s="13" t="s">
        <v>48</v>
      </c>
      <c r="F9" s="12" t="s">
        <v>58</v>
      </c>
      <c r="G9" s="3"/>
    </row>
    <row r="10" spans="1:7" ht="46.5" x14ac:dyDescent="0.4">
      <c r="A10" s="12">
        <v>9</v>
      </c>
      <c r="B10" s="29" t="s">
        <v>86</v>
      </c>
      <c r="C10" s="12" t="s">
        <v>26</v>
      </c>
      <c r="D10" s="12" t="s">
        <v>99</v>
      </c>
      <c r="E10" s="13" t="s">
        <v>87</v>
      </c>
      <c r="F10" s="12" t="s">
        <v>88</v>
      </c>
      <c r="G10" s="3"/>
    </row>
    <row r="11" spans="1:7" ht="46.5" x14ac:dyDescent="0.4">
      <c r="A11" s="12">
        <v>10</v>
      </c>
      <c r="B11" s="29" t="s">
        <v>94</v>
      </c>
      <c r="C11" s="12" t="s">
        <v>26</v>
      </c>
      <c r="D11" s="12" t="s">
        <v>37</v>
      </c>
      <c r="E11" s="13" t="s">
        <v>95</v>
      </c>
      <c r="F11" s="12" t="s">
        <v>96</v>
      </c>
      <c r="G11" s="3"/>
    </row>
    <row r="12" spans="1:7" ht="93" x14ac:dyDescent="0.4">
      <c r="A12" s="12">
        <v>11</v>
      </c>
      <c r="B12" s="13" t="s">
        <v>57</v>
      </c>
      <c r="C12" s="12" t="s">
        <v>28</v>
      </c>
      <c r="D12" s="12" t="s">
        <v>40</v>
      </c>
      <c r="E12" s="13" t="s">
        <v>43</v>
      </c>
      <c r="F12" s="12" t="s">
        <v>59</v>
      </c>
      <c r="G12" s="3"/>
    </row>
    <row r="13" spans="1:7" ht="69.75" x14ac:dyDescent="0.4">
      <c r="A13" s="12">
        <v>12</v>
      </c>
      <c r="B13" s="13" t="s">
        <v>60</v>
      </c>
      <c r="C13" s="12" t="s">
        <v>27</v>
      </c>
      <c r="D13" s="12" t="s">
        <v>38</v>
      </c>
      <c r="E13" s="13" t="s">
        <v>44</v>
      </c>
      <c r="F13" s="30" t="s">
        <v>96</v>
      </c>
      <c r="G13" s="3"/>
    </row>
    <row r="14" spans="1:7" ht="151.15" x14ac:dyDescent="0.4">
      <c r="A14" s="12">
        <v>13</v>
      </c>
      <c r="B14" s="13" t="s">
        <v>61</v>
      </c>
      <c r="C14" s="12" t="s">
        <v>27</v>
      </c>
      <c r="D14" s="12" t="s">
        <v>37</v>
      </c>
      <c r="E14" s="13" t="s">
        <v>62</v>
      </c>
      <c r="F14" s="12" t="s">
        <v>63</v>
      </c>
      <c r="G14" s="3"/>
    </row>
    <row r="15" spans="1:7" ht="151.15" x14ac:dyDescent="0.4">
      <c r="A15" s="12">
        <v>14</v>
      </c>
      <c r="B15" s="13" t="s">
        <v>64</v>
      </c>
      <c r="C15" s="12" t="s">
        <v>26</v>
      </c>
      <c r="D15" s="12" t="s">
        <v>41</v>
      </c>
      <c r="E15" s="13" t="s">
        <v>65</v>
      </c>
      <c r="F15" s="12" t="s">
        <v>66</v>
      </c>
      <c r="G15" s="3"/>
    </row>
    <row r="16" spans="1:7" ht="81.400000000000006" x14ac:dyDescent="0.4">
      <c r="A16" s="12">
        <v>15</v>
      </c>
      <c r="B16" s="13" t="s">
        <v>67</v>
      </c>
      <c r="C16" s="12" t="s">
        <v>26</v>
      </c>
      <c r="D16" s="12" t="s">
        <v>38</v>
      </c>
      <c r="E16" s="13" t="s">
        <v>100</v>
      </c>
      <c r="F16" s="12" t="s">
        <v>68</v>
      </c>
      <c r="G16" s="3"/>
    </row>
    <row r="17" spans="1:7" ht="81.400000000000006" x14ac:dyDescent="0.4">
      <c r="A17" s="12">
        <v>16</v>
      </c>
      <c r="B17" s="13" t="s">
        <v>69</v>
      </c>
      <c r="C17" s="12" t="s">
        <v>26</v>
      </c>
      <c r="D17" s="12" t="s">
        <v>41</v>
      </c>
      <c r="E17" s="13" t="s">
        <v>70</v>
      </c>
      <c r="F17" s="12" t="s">
        <v>71</v>
      </c>
      <c r="G17" s="3"/>
    </row>
    <row r="18" spans="1:7" ht="104.65" x14ac:dyDescent="0.4">
      <c r="A18" s="12">
        <v>17</v>
      </c>
      <c r="B18" s="13" t="s">
        <v>72</v>
      </c>
      <c r="C18" s="12" t="s">
        <v>26</v>
      </c>
      <c r="D18" s="12" t="s">
        <v>41</v>
      </c>
      <c r="E18" s="13" t="s">
        <v>73</v>
      </c>
      <c r="F18" s="12" t="s">
        <v>74</v>
      </c>
      <c r="G18" s="3"/>
    </row>
    <row r="19" spans="1:7" ht="116.25" x14ac:dyDescent="0.4">
      <c r="A19" s="12">
        <v>18</v>
      </c>
      <c r="B19" s="13" t="s">
        <v>75</v>
      </c>
      <c r="C19" s="12" t="s">
        <v>27</v>
      </c>
      <c r="D19" s="12" t="s">
        <v>37</v>
      </c>
      <c r="E19" s="13" t="s">
        <v>76</v>
      </c>
      <c r="F19" s="12" t="s">
        <v>77</v>
      </c>
      <c r="G19" s="3"/>
    </row>
    <row r="20" spans="1:7" ht="93" x14ac:dyDescent="0.4">
      <c r="A20" s="12">
        <v>19</v>
      </c>
      <c r="B20" s="13" t="s">
        <v>78</v>
      </c>
      <c r="C20" s="12" t="s">
        <v>27</v>
      </c>
      <c r="D20" s="12" t="s">
        <v>38</v>
      </c>
      <c r="E20" s="13" t="s">
        <v>79</v>
      </c>
      <c r="F20" s="12" t="s">
        <v>80</v>
      </c>
      <c r="G20" s="3"/>
    </row>
    <row r="21" spans="1:7" ht="174.4" x14ac:dyDescent="0.4">
      <c r="A21" s="12">
        <v>20</v>
      </c>
      <c r="B21" s="13" t="s">
        <v>81</v>
      </c>
      <c r="C21" s="12" t="s">
        <v>27</v>
      </c>
      <c r="D21" s="12" t="s">
        <v>37</v>
      </c>
      <c r="E21" s="13" t="s">
        <v>82</v>
      </c>
      <c r="F21" s="12" t="s">
        <v>101</v>
      </c>
      <c r="G21" s="3"/>
    </row>
    <row r="22" spans="1:7" ht="13.5" x14ac:dyDescent="0.4">
      <c r="A22" s="17"/>
      <c r="B22" s="2"/>
      <c r="E22" s="2"/>
      <c r="G22" s="2"/>
    </row>
    <row r="23" spans="1:7" ht="13.5" x14ac:dyDescent="0.4">
      <c r="A23" s="17"/>
      <c r="B23" s="2"/>
      <c r="E23" s="2"/>
      <c r="G23" s="2"/>
    </row>
    <row r="24" spans="1:7" ht="13.5" x14ac:dyDescent="0.4">
      <c r="A24" s="17"/>
      <c r="B24" s="2"/>
      <c r="E24" s="2"/>
      <c r="G24" s="2"/>
    </row>
    <row r="25" spans="1:7" ht="13.5" x14ac:dyDescent="0.4">
      <c r="A25" s="17"/>
      <c r="B25" s="2"/>
      <c r="E25" s="2"/>
      <c r="G25" s="2"/>
    </row>
    <row r="26" spans="1:7" ht="13.5" x14ac:dyDescent="0.4">
      <c r="A26" s="17"/>
      <c r="B26" s="2"/>
      <c r="E26" s="2"/>
      <c r="G26" s="2"/>
    </row>
    <row r="27" spans="1:7" ht="13.5" x14ac:dyDescent="0.4">
      <c r="A27" s="17"/>
      <c r="B27" s="2"/>
      <c r="E27" s="2"/>
      <c r="G27" s="2"/>
    </row>
    <row r="28" spans="1:7" ht="13.5" x14ac:dyDescent="0.4">
      <c r="A28" s="17"/>
      <c r="B28" s="2"/>
      <c r="E28" s="2"/>
      <c r="G28" s="2"/>
    </row>
    <row r="29" spans="1:7" ht="13.5" x14ac:dyDescent="0.4">
      <c r="A29" s="17"/>
      <c r="B29" s="2"/>
      <c r="E29" s="2"/>
      <c r="G29" s="2"/>
    </row>
    <row r="30" spans="1:7" ht="13.5" x14ac:dyDescent="0.4">
      <c r="A30" s="17"/>
      <c r="B30" s="2"/>
      <c r="E30" s="2"/>
      <c r="G30" s="2"/>
    </row>
    <row r="31" spans="1:7" ht="13.5" x14ac:dyDescent="0.4">
      <c r="A31" s="17"/>
      <c r="B31" s="2"/>
      <c r="E31" s="2"/>
      <c r="G31" s="2"/>
    </row>
    <row r="32" spans="1:7" ht="13.5" x14ac:dyDescent="0.4">
      <c r="A32" s="17"/>
      <c r="B32" s="2"/>
      <c r="E32" s="2"/>
      <c r="G32" s="2"/>
    </row>
    <row r="33" spans="1:7" ht="13.5" x14ac:dyDescent="0.4">
      <c r="A33" s="17"/>
      <c r="B33" s="2"/>
      <c r="E33" s="2"/>
      <c r="G33" s="2"/>
    </row>
    <row r="34" spans="1:7" ht="13.5" x14ac:dyDescent="0.4">
      <c r="A34" s="17"/>
      <c r="B34" s="2"/>
      <c r="E34" s="2"/>
      <c r="G34" s="2"/>
    </row>
    <row r="35" spans="1:7" ht="13.5" x14ac:dyDescent="0.4">
      <c r="A35" s="17"/>
      <c r="B35" s="2"/>
      <c r="E35" s="2"/>
      <c r="G35" s="2"/>
    </row>
    <row r="36" spans="1:7" ht="13.5" x14ac:dyDescent="0.4">
      <c r="A36" s="17"/>
      <c r="B36" s="2"/>
      <c r="E36" s="2"/>
      <c r="G36" s="2"/>
    </row>
    <row r="37" spans="1:7" ht="13.5" x14ac:dyDescent="0.4">
      <c r="A37" s="17"/>
      <c r="B37" s="2"/>
      <c r="E37" s="2"/>
      <c r="G37" s="2"/>
    </row>
    <row r="38" spans="1:7" ht="13.5" x14ac:dyDescent="0.4">
      <c r="A38" s="17"/>
      <c r="B38" s="2"/>
      <c r="E38" s="2"/>
      <c r="G38" s="2"/>
    </row>
    <row r="39" spans="1:7" ht="13.5" x14ac:dyDescent="0.4">
      <c r="A39" s="17"/>
      <c r="B39" s="2"/>
      <c r="E39" s="2"/>
      <c r="G39" s="2"/>
    </row>
    <row r="40" spans="1:7" ht="13.5" x14ac:dyDescent="0.4">
      <c r="A40" s="17"/>
      <c r="B40" s="2"/>
      <c r="E40" s="2"/>
      <c r="G40" s="2"/>
    </row>
    <row r="41" spans="1:7" ht="13.5" x14ac:dyDescent="0.4">
      <c r="A41" s="17"/>
      <c r="B41" s="2"/>
      <c r="E41" s="2"/>
      <c r="G41" s="2"/>
    </row>
    <row r="42" spans="1:7" ht="13.5" x14ac:dyDescent="0.4">
      <c r="A42" s="17"/>
      <c r="B42" s="2"/>
      <c r="E42" s="2"/>
      <c r="G42" s="2"/>
    </row>
    <row r="43" spans="1:7" ht="13.5" x14ac:dyDescent="0.4">
      <c r="A43" s="17"/>
      <c r="B43" s="2"/>
      <c r="E43" s="2"/>
      <c r="G43" s="2"/>
    </row>
    <row r="44" spans="1:7" ht="13.5" x14ac:dyDescent="0.4">
      <c r="A44" s="17"/>
      <c r="B44" s="2"/>
      <c r="E44" s="2"/>
      <c r="G44" s="2"/>
    </row>
    <row r="45" spans="1:7" ht="13.5" x14ac:dyDescent="0.4">
      <c r="A45" s="17"/>
      <c r="B45" s="2"/>
      <c r="E45" s="2"/>
      <c r="G45" s="2"/>
    </row>
    <row r="46" spans="1:7" ht="13.5" x14ac:dyDescent="0.4">
      <c r="A46" s="17"/>
      <c r="B46" s="2"/>
      <c r="E46" s="2"/>
      <c r="G46" s="2"/>
    </row>
    <row r="47" spans="1:7" ht="13.5" x14ac:dyDescent="0.4">
      <c r="A47" s="17"/>
      <c r="B47" s="2"/>
      <c r="E47" s="2"/>
      <c r="G47" s="2"/>
    </row>
    <row r="48" spans="1:7" ht="13.5" x14ac:dyDescent="0.4">
      <c r="A48" s="17"/>
      <c r="B48" s="2"/>
      <c r="E48" s="2"/>
      <c r="G48" s="2"/>
    </row>
    <row r="49" spans="1:7" ht="13.5" x14ac:dyDescent="0.4">
      <c r="A49" s="17"/>
      <c r="B49" s="2"/>
      <c r="E49" s="2"/>
      <c r="G49" s="2"/>
    </row>
    <row r="50" spans="1:7" ht="13.5" x14ac:dyDescent="0.4">
      <c r="A50" s="17"/>
      <c r="B50" s="2"/>
      <c r="E50" s="2"/>
      <c r="G50" s="2"/>
    </row>
    <row r="51" spans="1:7" ht="13.5" x14ac:dyDescent="0.4">
      <c r="A51" s="17"/>
      <c r="B51" s="2"/>
      <c r="E51" s="2"/>
      <c r="G51" s="2"/>
    </row>
    <row r="52" spans="1:7" ht="13.5" x14ac:dyDescent="0.4">
      <c r="A52" s="17"/>
      <c r="B52" s="2"/>
      <c r="E52" s="2"/>
      <c r="G52" s="2"/>
    </row>
    <row r="53" spans="1:7" ht="13.5" x14ac:dyDescent="0.4">
      <c r="A53" s="17"/>
      <c r="B53" s="2"/>
      <c r="E53" s="2"/>
      <c r="G53" s="2"/>
    </row>
    <row r="54" spans="1:7" ht="13.5" x14ac:dyDescent="0.4">
      <c r="A54" s="17"/>
      <c r="B54" s="2"/>
      <c r="E54" s="2"/>
      <c r="G54" s="2"/>
    </row>
    <row r="55" spans="1:7" ht="13.5" x14ac:dyDescent="0.4">
      <c r="A55" s="17"/>
      <c r="B55" s="2"/>
      <c r="E55" s="2"/>
      <c r="G55" s="2"/>
    </row>
    <row r="56" spans="1:7" ht="13.5" x14ac:dyDescent="0.4">
      <c r="A56" s="17"/>
      <c r="B56" s="2"/>
      <c r="E56" s="2"/>
      <c r="G56" s="2"/>
    </row>
    <row r="57" spans="1:7" ht="13.5" x14ac:dyDescent="0.4">
      <c r="A57" s="17"/>
      <c r="B57" s="2"/>
      <c r="E57" s="2"/>
      <c r="G57" s="2"/>
    </row>
    <row r="58" spans="1:7" ht="13.5" x14ac:dyDescent="0.4">
      <c r="A58" s="17"/>
      <c r="B58" s="2"/>
      <c r="E58" s="2"/>
      <c r="G58" s="2"/>
    </row>
    <row r="59" spans="1:7" ht="13.5" x14ac:dyDescent="0.4">
      <c r="A59" s="17"/>
      <c r="B59" s="2"/>
      <c r="E59" s="2"/>
      <c r="G59" s="2"/>
    </row>
    <row r="60" spans="1:7" ht="13.5" x14ac:dyDescent="0.4">
      <c r="A60" s="17"/>
      <c r="B60" s="2"/>
      <c r="E60" s="2"/>
      <c r="G60" s="2"/>
    </row>
    <row r="61" spans="1:7" ht="13.5" x14ac:dyDescent="0.4">
      <c r="A61" s="17"/>
      <c r="B61" s="2"/>
      <c r="E61" s="2"/>
      <c r="G61" s="2"/>
    </row>
    <row r="62" spans="1:7" ht="13.5" x14ac:dyDescent="0.4">
      <c r="A62" s="17"/>
      <c r="B62" s="2"/>
      <c r="E62" s="2"/>
      <c r="G62" s="2"/>
    </row>
    <row r="63" spans="1:7" ht="13.5" x14ac:dyDescent="0.4">
      <c r="A63" s="17"/>
      <c r="B63" s="2"/>
      <c r="E63" s="2"/>
      <c r="G63" s="2"/>
    </row>
    <row r="64" spans="1:7" ht="13.5" x14ac:dyDescent="0.4">
      <c r="A64" s="17"/>
      <c r="B64" s="2"/>
      <c r="E64" s="2"/>
      <c r="G64" s="2"/>
    </row>
    <row r="65" spans="1:7" ht="13.5" x14ac:dyDescent="0.4">
      <c r="A65" s="17"/>
      <c r="B65" s="2"/>
      <c r="E65" s="2"/>
      <c r="G65" s="2"/>
    </row>
    <row r="66" spans="1:7" ht="13.5" x14ac:dyDescent="0.4">
      <c r="A66" s="17"/>
      <c r="B66" s="2"/>
      <c r="E66" s="2"/>
      <c r="G66" s="2"/>
    </row>
    <row r="67" spans="1:7" ht="13.5" x14ac:dyDescent="0.4">
      <c r="A67" s="17"/>
      <c r="B67" s="2"/>
      <c r="E67" s="2"/>
      <c r="G67" s="2"/>
    </row>
    <row r="68" spans="1:7" ht="13.5" x14ac:dyDescent="0.4">
      <c r="A68" s="17"/>
      <c r="B68" s="2"/>
      <c r="E68" s="2"/>
      <c r="G68" s="2"/>
    </row>
    <row r="69" spans="1:7" ht="13.5" x14ac:dyDescent="0.4">
      <c r="A69" s="17"/>
      <c r="B69" s="2"/>
      <c r="E69" s="2"/>
      <c r="G69" s="2"/>
    </row>
    <row r="70" spans="1:7" ht="13.5" x14ac:dyDescent="0.4">
      <c r="A70" s="17"/>
      <c r="B70" s="2"/>
      <c r="E70" s="2"/>
      <c r="G70" s="2"/>
    </row>
    <row r="71" spans="1:7" ht="13.5" x14ac:dyDescent="0.4">
      <c r="A71" s="17"/>
      <c r="B71" s="2"/>
      <c r="E71" s="2"/>
      <c r="G71" s="2"/>
    </row>
    <row r="72" spans="1:7" ht="13.5" x14ac:dyDescent="0.4">
      <c r="A72" s="17"/>
      <c r="B72" s="2"/>
      <c r="E72" s="2"/>
      <c r="G72" s="2"/>
    </row>
    <row r="73" spans="1:7" ht="13.5" x14ac:dyDescent="0.4">
      <c r="A73" s="17"/>
      <c r="B73" s="2"/>
      <c r="E73" s="2"/>
      <c r="G73" s="2"/>
    </row>
    <row r="74" spans="1:7" ht="13.5" x14ac:dyDescent="0.4">
      <c r="A74" s="17"/>
      <c r="B74" s="2"/>
      <c r="E74" s="2"/>
      <c r="G74" s="2"/>
    </row>
    <row r="75" spans="1:7" ht="13.5" x14ac:dyDescent="0.4">
      <c r="A75" s="17"/>
      <c r="B75" s="2"/>
      <c r="E75" s="2"/>
      <c r="G75" s="2"/>
    </row>
    <row r="76" spans="1:7" ht="13.5" x14ac:dyDescent="0.4">
      <c r="A76" s="17"/>
      <c r="B76" s="2"/>
      <c r="E76" s="2"/>
      <c r="G76" s="2"/>
    </row>
    <row r="77" spans="1:7" ht="13.5" x14ac:dyDescent="0.4">
      <c r="A77" s="17"/>
      <c r="B77" s="2"/>
      <c r="E77" s="2"/>
      <c r="G77" s="2"/>
    </row>
    <row r="78" spans="1:7" ht="13.5" x14ac:dyDescent="0.4">
      <c r="A78" s="17"/>
      <c r="B78" s="2"/>
      <c r="E78" s="2"/>
      <c r="G78" s="2"/>
    </row>
    <row r="79" spans="1:7" ht="13.5" x14ac:dyDescent="0.4">
      <c r="A79" s="17"/>
      <c r="B79" s="2"/>
      <c r="E79" s="2"/>
      <c r="G79" s="2"/>
    </row>
    <row r="80" spans="1:7" ht="13.5" x14ac:dyDescent="0.4">
      <c r="A80" s="17"/>
      <c r="B80" s="2"/>
      <c r="E80" s="2"/>
      <c r="G80" s="2"/>
    </row>
    <row r="81" spans="1:7" ht="13.5" x14ac:dyDescent="0.4">
      <c r="A81" s="17"/>
      <c r="B81" s="2"/>
      <c r="E81" s="2"/>
      <c r="G81" s="2"/>
    </row>
    <row r="82" spans="1:7" ht="13.5" x14ac:dyDescent="0.4">
      <c r="A82" s="17"/>
      <c r="B82" s="2"/>
      <c r="E82" s="2"/>
      <c r="G82" s="2"/>
    </row>
    <row r="83" spans="1:7" ht="13.5" x14ac:dyDescent="0.4">
      <c r="A83" s="17"/>
      <c r="B83" s="2"/>
      <c r="E83" s="2"/>
      <c r="G83" s="2"/>
    </row>
    <row r="84" spans="1:7" ht="13.5" x14ac:dyDescent="0.4">
      <c r="A84" s="17"/>
      <c r="B84" s="2"/>
      <c r="E84" s="2"/>
      <c r="G84" s="2"/>
    </row>
    <row r="85" spans="1:7" ht="13.5" x14ac:dyDescent="0.4">
      <c r="A85" s="17"/>
      <c r="B85" s="2"/>
      <c r="E85" s="2"/>
      <c r="G85" s="2"/>
    </row>
    <row r="86" spans="1:7" ht="13.5" x14ac:dyDescent="0.4">
      <c r="A86" s="17"/>
      <c r="B86" s="2"/>
      <c r="E86" s="2"/>
      <c r="G86" s="2"/>
    </row>
    <row r="87" spans="1:7" ht="13.5" x14ac:dyDescent="0.4">
      <c r="A87" s="17"/>
      <c r="B87" s="2"/>
      <c r="E87" s="2"/>
      <c r="G87" s="2"/>
    </row>
    <row r="88" spans="1:7" ht="13.5" x14ac:dyDescent="0.4">
      <c r="A88" s="17"/>
      <c r="B88" s="2"/>
      <c r="E88" s="2"/>
      <c r="G88" s="2"/>
    </row>
    <row r="89" spans="1:7" ht="13.5" x14ac:dyDescent="0.4">
      <c r="A89" s="17"/>
      <c r="B89" s="2"/>
      <c r="E89" s="2"/>
      <c r="G89" s="2"/>
    </row>
    <row r="90" spans="1:7" ht="13.5" x14ac:dyDescent="0.4">
      <c r="A90" s="17"/>
      <c r="B90" s="2"/>
      <c r="E90" s="2"/>
      <c r="G90" s="2"/>
    </row>
    <row r="91" spans="1:7" ht="13.5" x14ac:dyDescent="0.4">
      <c r="A91" s="17"/>
      <c r="B91" s="2"/>
      <c r="E91" s="2"/>
      <c r="G91" s="2"/>
    </row>
    <row r="92" spans="1:7" ht="13.5" x14ac:dyDescent="0.4">
      <c r="A92" s="17"/>
      <c r="B92" s="2"/>
      <c r="E92" s="2"/>
      <c r="G92" s="2"/>
    </row>
    <row r="93" spans="1:7" ht="13.5" x14ac:dyDescent="0.4">
      <c r="A93" s="17"/>
      <c r="B93" s="2"/>
      <c r="E93" s="2"/>
      <c r="G93" s="2"/>
    </row>
    <row r="94" spans="1:7" ht="13.5" x14ac:dyDescent="0.4">
      <c r="A94" s="17"/>
      <c r="B94" s="2"/>
      <c r="E94" s="2"/>
      <c r="G94" s="2"/>
    </row>
    <row r="95" spans="1:7" ht="13.5" x14ac:dyDescent="0.4">
      <c r="A95" s="17"/>
      <c r="B95" s="2"/>
      <c r="E95" s="2"/>
      <c r="G95" s="2"/>
    </row>
    <row r="96" spans="1:7" ht="13.5" x14ac:dyDescent="0.4">
      <c r="A96" s="17"/>
      <c r="B96" s="2"/>
      <c r="E96" s="2"/>
      <c r="G96" s="2"/>
    </row>
    <row r="97" spans="1:7" ht="13.5" x14ac:dyDescent="0.4">
      <c r="A97" s="17"/>
      <c r="B97" s="2"/>
      <c r="E97" s="2"/>
      <c r="G97" s="2"/>
    </row>
    <row r="98" spans="1:7" ht="13.5" x14ac:dyDescent="0.4">
      <c r="A98" s="17"/>
      <c r="B98" s="2"/>
      <c r="E98" s="2"/>
      <c r="G98" s="2"/>
    </row>
    <row r="99" spans="1:7" ht="13.5" x14ac:dyDescent="0.4">
      <c r="A99" s="17"/>
      <c r="B99" s="2"/>
      <c r="E99" s="2"/>
      <c r="G99" s="2"/>
    </row>
    <row r="100" spans="1:7" ht="13.5" x14ac:dyDescent="0.4">
      <c r="A100" s="17"/>
      <c r="B100" s="2"/>
      <c r="E100" s="2"/>
      <c r="G100" s="2"/>
    </row>
    <row r="101" spans="1:7" ht="13.5" x14ac:dyDescent="0.4">
      <c r="A101" s="17"/>
      <c r="B101" s="2"/>
      <c r="E101" s="2"/>
      <c r="G101" s="2"/>
    </row>
    <row r="102" spans="1:7" ht="13.5" x14ac:dyDescent="0.4">
      <c r="A102" s="17"/>
      <c r="B102" s="2"/>
      <c r="E102" s="2"/>
      <c r="G102" s="2"/>
    </row>
    <row r="103" spans="1:7" ht="13.5" x14ac:dyDescent="0.4">
      <c r="A103" s="17"/>
      <c r="B103" s="2"/>
      <c r="E103" s="2"/>
      <c r="G103" s="2"/>
    </row>
    <row r="104" spans="1:7" ht="13.5" x14ac:dyDescent="0.4">
      <c r="A104" s="17"/>
      <c r="B104" s="2"/>
      <c r="E104" s="2"/>
      <c r="G104" s="2"/>
    </row>
    <row r="105" spans="1:7" ht="13.5" x14ac:dyDescent="0.4">
      <c r="A105" s="17"/>
      <c r="B105" s="2"/>
      <c r="E105" s="2"/>
      <c r="G105" s="2"/>
    </row>
    <row r="106" spans="1:7" ht="13.5" x14ac:dyDescent="0.4">
      <c r="A106" s="17"/>
      <c r="B106" s="2"/>
      <c r="E106" s="2"/>
      <c r="G106" s="2"/>
    </row>
    <row r="107" spans="1:7" ht="13.5" x14ac:dyDescent="0.4">
      <c r="A107" s="17"/>
      <c r="B107" s="2"/>
      <c r="E107" s="2"/>
      <c r="G107" s="2"/>
    </row>
    <row r="108" spans="1:7" ht="13.5" x14ac:dyDescent="0.4">
      <c r="A108" s="17"/>
      <c r="B108" s="2"/>
      <c r="E108" s="2"/>
      <c r="G108" s="2"/>
    </row>
    <row r="109" spans="1:7" ht="13.5" x14ac:dyDescent="0.4">
      <c r="A109" s="17"/>
      <c r="B109" s="2"/>
      <c r="E109" s="2"/>
      <c r="G109" s="2"/>
    </row>
    <row r="110" spans="1:7" ht="13.5" x14ac:dyDescent="0.4">
      <c r="B110" s="1"/>
      <c r="E110" s="1"/>
      <c r="G110" s="1"/>
    </row>
    <row r="111" spans="1:7" ht="13.5" x14ac:dyDescent="0.4">
      <c r="B111" s="1"/>
      <c r="E111" s="1"/>
      <c r="G111" s="1"/>
    </row>
    <row r="112" spans="1:7" ht="13.5" x14ac:dyDescent="0.4">
      <c r="B112" s="1"/>
      <c r="E112" s="1"/>
      <c r="G112" s="1"/>
    </row>
    <row r="113" spans="2:7" ht="13.5" x14ac:dyDescent="0.4">
      <c r="B113" s="1"/>
      <c r="E113" s="1"/>
      <c r="G113" s="1"/>
    </row>
    <row r="114" spans="2:7" ht="13.5" x14ac:dyDescent="0.4">
      <c r="B114" s="1"/>
      <c r="E114" s="1"/>
      <c r="G114" s="1"/>
    </row>
    <row r="115" spans="2:7" ht="13.5" x14ac:dyDescent="0.4">
      <c r="B115" s="1"/>
      <c r="E115" s="1"/>
      <c r="G115" s="1"/>
    </row>
    <row r="116" spans="2:7" ht="13.5" x14ac:dyDescent="0.4">
      <c r="B116" s="1"/>
      <c r="E116" s="1"/>
      <c r="G116" s="1"/>
    </row>
    <row r="117" spans="2:7" ht="13.5" x14ac:dyDescent="0.4">
      <c r="B117" s="1"/>
      <c r="E117" s="1"/>
      <c r="G117" s="1"/>
    </row>
    <row r="118" spans="2:7" ht="13.5" x14ac:dyDescent="0.4">
      <c r="B118" s="1"/>
      <c r="E118" s="1"/>
      <c r="G118" s="1"/>
    </row>
    <row r="119" spans="2:7" ht="13.5" x14ac:dyDescent="0.4">
      <c r="B119" s="1"/>
      <c r="E119" s="1"/>
      <c r="G119" s="1"/>
    </row>
    <row r="120" spans="2:7" ht="13.5" x14ac:dyDescent="0.4">
      <c r="B120" s="1"/>
      <c r="E120" s="1"/>
      <c r="G120" s="1"/>
    </row>
    <row r="121" spans="2:7" ht="13.5" x14ac:dyDescent="0.4">
      <c r="B121" s="1"/>
      <c r="E121" s="1"/>
      <c r="G121" s="1"/>
    </row>
    <row r="122" spans="2:7" ht="13.5" x14ac:dyDescent="0.4">
      <c r="B122" s="1"/>
      <c r="E122" s="1"/>
      <c r="G122" s="1"/>
    </row>
    <row r="123" spans="2:7" ht="13.5" x14ac:dyDescent="0.4">
      <c r="B123" s="1"/>
      <c r="E123" s="1"/>
      <c r="G123" s="1"/>
    </row>
    <row r="124" spans="2:7" ht="13.5" x14ac:dyDescent="0.4">
      <c r="B124" s="1"/>
      <c r="E124" s="1"/>
      <c r="G124" s="1"/>
    </row>
    <row r="125" spans="2:7" ht="13.5" x14ac:dyDescent="0.4">
      <c r="B125" s="1"/>
      <c r="E125" s="1"/>
      <c r="G125" s="1"/>
    </row>
    <row r="126" spans="2:7" ht="13.5" x14ac:dyDescent="0.4">
      <c r="B126" s="1"/>
      <c r="E126" s="1"/>
      <c r="G126" s="1"/>
    </row>
    <row r="127" spans="2:7" ht="13.5" x14ac:dyDescent="0.4">
      <c r="B127" s="1"/>
      <c r="E127" s="1"/>
      <c r="G127" s="1"/>
    </row>
    <row r="128" spans="2:7" ht="13.5" x14ac:dyDescent="0.4">
      <c r="B128" s="1"/>
      <c r="E128" s="1"/>
      <c r="G128" s="1"/>
    </row>
    <row r="129" spans="2:7" ht="13.5" x14ac:dyDescent="0.4">
      <c r="B129" s="1"/>
      <c r="E129" s="1"/>
      <c r="G129" s="1"/>
    </row>
    <row r="130" spans="2:7" ht="13.5" x14ac:dyDescent="0.4">
      <c r="B130" s="1"/>
      <c r="E130" s="1"/>
      <c r="G130" s="1"/>
    </row>
    <row r="131" spans="2:7" ht="13.5" x14ac:dyDescent="0.4">
      <c r="B131" s="1"/>
      <c r="E131" s="1"/>
      <c r="G131" s="1"/>
    </row>
    <row r="132" spans="2:7" ht="13.5" x14ac:dyDescent="0.4">
      <c r="B132" s="1"/>
      <c r="E132" s="1"/>
      <c r="G132" s="1"/>
    </row>
    <row r="133" spans="2:7" ht="13.5" x14ac:dyDescent="0.4">
      <c r="B133" s="1"/>
      <c r="E133" s="1"/>
      <c r="G133" s="1"/>
    </row>
    <row r="134" spans="2:7" ht="13.5" x14ac:dyDescent="0.4">
      <c r="B134" s="1"/>
      <c r="E134" s="1"/>
      <c r="G134" s="1"/>
    </row>
    <row r="135" spans="2:7" ht="13.5" x14ac:dyDescent="0.4">
      <c r="B135" s="1"/>
      <c r="E135" s="1"/>
      <c r="G135" s="1"/>
    </row>
    <row r="136" spans="2:7" ht="13.5" x14ac:dyDescent="0.4">
      <c r="B136" s="1"/>
      <c r="E136" s="1"/>
      <c r="G136" s="1"/>
    </row>
    <row r="137" spans="2:7" ht="13.5" x14ac:dyDescent="0.4">
      <c r="B137" s="1"/>
      <c r="E137" s="1"/>
      <c r="G137" s="1"/>
    </row>
    <row r="138" spans="2:7" ht="13.5" x14ac:dyDescent="0.4">
      <c r="B138" s="1"/>
      <c r="E138" s="1"/>
      <c r="G138" s="1"/>
    </row>
    <row r="139" spans="2:7" ht="13.5" x14ac:dyDescent="0.4">
      <c r="B139" s="1"/>
      <c r="E139" s="1"/>
      <c r="G139" s="1"/>
    </row>
    <row r="140" spans="2:7" ht="13.5" x14ac:dyDescent="0.4">
      <c r="B140" s="1"/>
      <c r="E140" s="1"/>
      <c r="G140" s="1"/>
    </row>
    <row r="141" spans="2:7" ht="13.5" x14ac:dyDescent="0.4">
      <c r="B141" s="1"/>
      <c r="E141" s="1"/>
      <c r="G141" s="1"/>
    </row>
    <row r="142" spans="2:7" ht="13.5" x14ac:dyDescent="0.4">
      <c r="B142" s="1"/>
      <c r="E142" s="1"/>
      <c r="G142" s="1"/>
    </row>
    <row r="143" spans="2:7" ht="13.5" x14ac:dyDescent="0.4">
      <c r="B143" s="1"/>
      <c r="E143" s="1"/>
      <c r="G143" s="1"/>
    </row>
    <row r="144" spans="2:7" ht="13.5" x14ac:dyDescent="0.4">
      <c r="B144" s="1"/>
      <c r="E144" s="1"/>
      <c r="G144" s="1"/>
    </row>
    <row r="145" spans="2:7" ht="13.5" x14ac:dyDescent="0.4">
      <c r="B145" s="1"/>
      <c r="E145" s="1"/>
      <c r="G145" s="1"/>
    </row>
    <row r="146" spans="2:7" ht="13.5" x14ac:dyDescent="0.4">
      <c r="B146" s="1"/>
      <c r="E146" s="1"/>
      <c r="G146" s="1"/>
    </row>
    <row r="147" spans="2:7" ht="13.5" x14ac:dyDescent="0.4">
      <c r="B147" s="1"/>
      <c r="E147" s="1"/>
      <c r="G147" s="1"/>
    </row>
    <row r="148" spans="2:7" ht="13.5" x14ac:dyDescent="0.4">
      <c r="B148" s="1"/>
      <c r="E148" s="1"/>
      <c r="G148" s="1"/>
    </row>
    <row r="149" spans="2:7" ht="13.5" x14ac:dyDescent="0.4">
      <c r="B149" s="1"/>
      <c r="E149" s="1"/>
      <c r="G149" s="1"/>
    </row>
    <row r="150" spans="2:7" ht="13.5" x14ac:dyDescent="0.4">
      <c r="B150" s="1"/>
      <c r="E150" s="1"/>
      <c r="G150" s="1"/>
    </row>
    <row r="151" spans="2:7" ht="13.5" x14ac:dyDescent="0.4">
      <c r="B151" s="1"/>
      <c r="E151" s="1"/>
      <c r="G151" s="1"/>
    </row>
    <row r="152" spans="2:7" ht="13.5" x14ac:dyDescent="0.4">
      <c r="B152" s="1"/>
      <c r="E152" s="1"/>
      <c r="G152" s="1"/>
    </row>
    <row r="153" spans="2:7" ht="13.5" x14ac:dyDescent="0.4">
      <c r="B153" s="1"/>
      <c r="E153" s="1"/>
      <c r="G153" s="1"/>
    </row>
    <row r="154" spans="2:7" ht="13.5" x14ac:dyDescent="0.4">
      <c r="B154" s="1"/>
      <c r="E154" s="1"/>
      <c r="G154" s="1"/>
    </row>
    <row r="155" spans="2:7" ht="13.5" x14ac:dyDescent="0.4">
      <c r="B155" s="1"/>
      <c r="E155" s="1"/>
      <c r="G155" s="1"/>
    </row>
    <row r="156" spans="2:7" ht="13.5" x14ac:dyDescent="0.4">
      <c r="B156" s="1"/>
      <c r="E156" s="1"/>
      <c r="G156" s="1"/>
    </row>
    <row r="157" spans="2:7" ht="13.5" x14ac:dyDescent="0.4">
      <c r="B157" s="1"/>
      <c r="E157" s="1"/>
      <c r="G157" s="1"/>
    </row>
    <row r="158" spans="2:7" ht="13.5" x14ac:dyDescent="0.4">
      <c r="B158" s="1"/>
      <c r="E158" s="1"/>
      <c r="G158" s="1"/>
    </row>
    <row r="159" spans="2:7" ht="13.5" x14ac:dyDescent="0.4">
      <c r="B159" s="1"/>
      <c r="E159" s="1"/>
      <c r="G159" s="1"/>
    </row>
    <row r="160" spans="2:7" ht="13.5" x14ac:dyDescent="0.4">
      <c r="B160" s="1"/>
      <c r="E160" s="1"/>
      <c r="G160" s="1"/>
    </row>
    <row r="161" spans="2:7" ht="13.5" x14ac:dyDescent="0.4">
      <c r="B161" s="1"/>
      <c r="E161" s="1"/>
      <c r="G161" s="1"/>
    </row>
    <row r="162" spans="2:7" ht="13.5" x14ac:dyDescent="0.4">
      <c r="B162" s="1"/>
      <c r="E162" s="1"/>
      <c r="G162" s="1"/>
    </row>
    <row r="163" spans="2:7" ht="13.5" x14ac:dyDescent="0.4">
      <c r="B163" s="1"/>
      <c r="E163" s="1"/>
      <c r="G163" s="1"/>
    </row>
    <row r="164" spans="2:7" ht="13.5" x14ac:dyDescent="0.4">
      <c r="B164" s="1"/>
      <c r="E164" s="1"/>
      <c r="G164" s="1"/>
    </row>
    <row r="165" spans="2:7" ht="13.5" x14ac:dyDescent="0.4">
      <c r="B165" s="1"/>
      <c r="E165" s="1"/>
      <c r="G165" s="1"/>
    </row>
    <row r="166" spans="2:7" ht="13.5" x14ac:dyDescent="0.4">
      <c r="B166" s="1"/>
      <c r="E166" s="1"/>
      <c r="G166" s="1"/>
    </row>
    <row r="167" spans="2:7" ht="13.5" x14ac:dyDescent="0.4">
      <c r="B167" s="1"/>
      <c r="E167" s="1"/>
      <c r="G167" s="1"/>
    </row>
    <row r="168" spans="2:7" ht="13.5" x14ac:dyDescent="0.4">
      <c r="B168" s="1"/>
      <c r="E168" s="1"/>
      <c r="G168" s="1"/>
    </row>
    <row r="169" spans="2:7" ht="13.5" x14ac:dyDescent="0.4">
      <c r="B169" s="1"/>
      <c r="E169" s="1"/>
      <c r="G169" s="1"/>
    </row>
    <row r="170" spans="2:7" ht="13.5" x14ac:dyDescent="0.4">
      <c r="B170" s="1"/>
      <c r="E170" s="1"/>
      <c r="G170" s="1"/>
    </row>
    <row r="171" spans="2:7" ht="13.5" x14ac:dyDescent="0.4">
      <c r="B171" s="1"/>
      <c r="E171" s="1"/>
      <c r="G171" s="1"/>
    </row>
    <row r="172" spans="2:7" ht="13.5" x14ac:dyDescent="0.4">
      <c r="B172" s="1"/>
      <c r="E172" s="1"/>
      <c r="G172" s="1"/>
    </row>
    <row r="173" spans="2:7" ht="13.5" x14ac:dyDescent="0.4">
      <c r="B173" s="1"/>
      <c r="E173" s="1"/>
      <c r="G173" s="1"/>
    </row>
    <row r="174" spans="2:7" ht="13.5" x14ac:dyDescent="0.4">
      <c r="B174" s="1"/>
      <c r="E174" s="1"/>
      <c r="G174" s="1"/>
    </row>
    <row r="175" spans="2:7" ht="13.5" x14ac:dyDescent="0.4">
      <c r="B175" s="1"/>
      <c r="E175" s="1"/>
      <c r="G175" s="1"/>
    </row>
    <row r="176" spans="2:7" ht="13.5" x14ac:dyDescent="0.4">
      <c r="B176" s="1"/>
      <c r="E176" s="1"/>
      <c r="G176" s="1"/>
    </row>
    <row r="177" spans="2:7" ht="13.5" x14ac:dyDescent="0.4">
      <c r="B177" s="1"/>
      <c r="E177" s="1"/>
      <c r="G177" s="1"/>
    </row>
    <row r="178" spans="2:7" ht="13.5" x14ac:dyDescent="0.4">
      <c r="B178" s="1"/>
      <c r="E178" s="1"/>
      <c r="G178" s="1"/>
    </row>
    <row r="179" spans="2:7" ht="13.5" x14ac:dyDescent="0.4">
      <c r="B179" s="1"/>
      <c r="E179" s="1"/>
      <c r="G179" s="1"/>
    </row>
    <row r="180" spans="2:7" ht="13.5" x14ac:dyDescent="0.4">
      <c r="B180" s="1"/>
      <c r="E180" s="1"/>
      <c r="G180" s="1"/>
    </row>
    <row r="181" spans="2:7" ht="13.5" x14ac:dyDescent="0.4">
      <c r="B181" s="1"/>
      <c r="E181" s="1"/>
      <c r="G181" s="1"/>
    </row>
    <row r="182" spans="2:7" ht="13.5" x14ac:dyDescent="0.4">
      <c r="B182" s="1"/>
      <c r="E182" s="1"/>
      <c r="G182" s="1"/>
    </row>
    <row r="183" spans="2:7" ht="13.5" x14ac:dyDescent="0.4">
      <c r="B183" s="1"/>
      <c r="E183" s="1"/>
      <c r="G183" s="1"/>
    </row>
    <row r="184" spans="2:7" ht="13.5" x14ac:dyDescent="0.4">
      <c r="B184" s="1"/>
      <c r="E184" s="1"/>
      <c r="G184" s="1"/>
    </row>
    <row r="185" spans="2:7" ht="13.5" x14ac:dyDescent="0.4">
      <c r="B185" s="1"/>
      <c r="E185" s="1"/>
      <c r="G185" s="1"/>
    </row>
    <row r="186" spans="2:7" ht="13.5" x14ac:dyDescent="0.4">
      <c r="B186" s="1"/>
      <c r="E186" s="1"/>
      <c r="G186" s="1"/>
    </row>
    <row r="187" spans="2:7" ht="13.5" x14ac:dyDescent="0.4">
      <c r="B187" s="1"/>
      <c r="E187" s="1"/>
      <c r="G187" s="1"/>
    </row>
    <row r="188" spans="2:7" ht="13.5" x14ac:dyDescent="0.4">
      <c r="B188" s="1"/>
      <c r="E188" s="1"/>
      <c r="G188" s="1"/>
    </row>
    <row r="189" spans="2:7" ht="13.5" x14ac:dyDescent="0.4">
      <c r="B189" s="1"/>
      <c r="E189" s="1"/>
      <c r="G189" s="1"/>
    </row>
    <row r="190" spans="2:7" ht="13.5" x14ac:dyDescent="0.4">
      <c r="B190" s="1"/>
      <c r="E190" s="1"/>
      <c r="G190" s="1"/>
    </row>
    <row r="191" spans="2:7" ht="13.5" x14ac:dyDescent="0.4">
      <c r="B191" s="1"/>
      <c r="E191" s="1"/>
      <c r="G191" s="1"/>
    </row>
    <row r="192" spans="2:7" ht="13.5" x14ac:dyDescent="0.4">
      <c r="B192" s="1"/>
      <c r="E192" s="1"/>
      <c r="G192" s="1"/>
    </row>
    <row r="193" spans="2:7" ht="13.5" x14ac:dyDescent="0.4">
      <c r="B193" s="1"/>
      <c r="E193" s="1"/>
      <c r="G193" s="1"/>
    </row>
    <row r="194" spans="2:7" ht="13.5" x14ac:dyDescent="0.4">
      <c r="B194" s="1"/>
      <c r="E194" s="1"/>
      <c r="G194" s="1"/>
    </row>
    <row r="195" spans="2:7" ht="13.5" x14ac:dyDescent="0.4">
      <c r="B195" s="1"/>
      <c r="E195" s="1"/>
      <c r="G195" s="1"/>
    </row>
    <row r="196" spans="2:7" ht="13.5" x14ac:dyDescent="0.4">
      <c r="B196" s="1"/>
      <c r="E196" s="1"/>
      <c r="G196" s="1"/>
    </row>
    <row r="197" spans="2:7" ht="13.5" x14ac:dyDescent="0.4">
      <c r="B197" s="1"/>
      <c r="E197" s="1"/>
      <c r="G197" s="1"/>
    </row>
    <row r="198" spans="2:7" ht="13.5" x14ac:dyDescent="0.4">
      <c r="B198" s="1"/>
      <c r="E198" s="1"/>
      <c r="G198" s="1"/>
    </row>
    <row r="199" spans="2:7" ht="13.5" x14ac:dyDescent="0.4">
      <c r="B199" s="1"/>
      <c r="E199" s="1"/>
      <c r="G199" s="1"/>
    </row>
    <row r="200" spans="2:7" ht="13.5" x14ac:dyDescent="0.4">
      <c r="B200" s="1"/>
      <c r="E200" s="1"/>
      <c r="G200" s="1"/>
    </row>
    <row r="201" spans="2:7" ht="13.5" x14ac:dyDescent="0.4">
      <c r="B201" s="1"/>
      <c r="E201" s="1"/>
      <c r="G201" s="1"/>
    </row>
    <row r="202" spans="2:7" ht="13.5" x14ac:dyDescent="0.4">
      <c r="B202" s="1"/>
      <c r="E202" s="1"/>
      <c r="G202" s="1"/>
    </row>
    <row r="203" spans="2:7" ht="13.5" x14ac:dyDescent="0.4">
      <c r="B203" s="1"/>
      <c r="E203" s="1"/>
      <c r="G203" s="1"/>
    </row>
    <row r="204" spans="2:7" ht="13.5" x14ac:dyDescent="0.4">
      <c r="B204" s="1"/>
      <c r="E204" s="1"/>
      <c r="G204" s="1"/>
    </row>
    <row r="205" spans="2:7" ht="13.5" x14ac:dyDescent="0.4">
      <c r="B205" s="1"/>
      <c r="E205" s="1"/>
      <c r="G205" s="1"/>
    </row>
    <row r="206" spans="2:7" ht="13.5" x14ac:dyDescent="0.4">
      <c r="B206" s="1"/>
      <c r="E206" s="1"/>
      <c r="G206" s="1"/>
    </row>
    <row r="207" spans="2:7" ht="13.5" x14ac:dyDescent="0.4">
      <c r="B207" s="1"/>
      <c r="E207" s="1"/>
      <c r="G207" s="1"/>
    </row>
    <row r="208" spans="2:7" ht="13.5" x14ac:dyDescent="0.4">
      <c r="B208" s="1"/>
      <c r="E208" s="1"/>
      <c r="G208" s="1"/>
    </row>
    <row r="209" spans="2:7" ht="13.5" x14ac:dyDescent="0.4">
      <c r="B209" s="1"/>
      <c r="E209" s="1"/>
      <c r="G209" s="1"/>
    </row>
    <row r="210" spans="2:7" ht="13.5" x14ac:dyDescent="0.4">
      <c r="B210" s="1"/>
      <c r="E210" s="1"/>
      <c r="G210" s="1"/>
    </row>
    <row r="211" spans="2:7" ht="13.5" x14ac:dyDescent="0.4">
      <c r="B211" s="1"/>
      <c r="E211" s="1"/>
      <c r="G211" s="1"/>
    </row>
    <row r="212" spans="2:7" ht="13.5" x14ac:dyDescent="0.4">
      <c r="B212" s="1"/>
      <c r="E212" s="1"/>
      <c r="G212" s="1"/>
    </row>
    <row r="213" spans="2:7" ht="13.5" x14ac:dyDescent="0.4">
      <c r="B213" s="1"/>
      <c r="E213" s="1"/>
      <c r="G213" s="1"/>
    </row>
    <row r="214" spans="2:7" ht="13.5" x14ac:dyDescent="0.4">
      <c r="B214" s="1"/>
      <c r="E214" s="1"/>
      <c r="G214" s="1"/>
    </row>
    <row r="215" spans="2:7" ht="13.5" x14ac:dyDescent="0.4">
      <c r="B215" s="1"/>
      <c r="E215" s="1"/>
      <c r="G215" s="1"/>
    </row>
    <row r="216" spans="2:7" ht="13.5" x14ac:dyDescent="0.4">
      <c r="B216" s="1"/>
      <c r="E216" s="1"/>
      <c r="G216" s="1"/>
    </row>
    <row r="217" spans="2:7" ht="13.5" x14ac:dyDescent="0.4">
      <c r="B217" s="1"/>
      <c r="E217" s="1"/>
      <c r="G217" s="1"/>
    </row>
    <row r="218" spans="2:7" ht="13.5" x14ac:dyDescent="0.4">
      <c r="B218" s="1"/>
      <c r="E218" s="1"/>
      <c r="G218" s="1"/>
    </row>
    <row r="219" spans="2:7" ht="13.5" x14ac:dyDescent="0.4">
      <c r="B219" s="1"/>
      <c r="E219" s="1"/>
      <c r="G219" s="1"/>
    </row>
    <row r="220" spans="2:7" ht="13.5" x14ac:dyDescent="0.4">
      <c r="B220" s="1"/>
      <c r="E220" s="1"/>
      <c r="G220" s="1"/>
    </row>
    <row r="221" spans="2:7" ht="13.5" x14ac:dyDescent="0.4">
      <c r="B221" s="1"/>
      <c r="E221" s="1"/>
      <c r="G221" s="1"/>
    </row>
    <row r="222" spans="2:7" ht="13.5" x14ac:dyDescent="0.4">
      <c r="B222" s="1"/>
      <c r="E222" s="1"/>
      <c r="G222" s="1"/>
    </row>
    <row r="223" spans="2:7" ht="13.5" x14ac:dyDescent="0.4">
      <c r="B223" s="1"/>
      <c r="E223" s="1"/>
      <c r="G223" s="1"/>
    </row>
    <row r="224" spans="2:7" ht="13.5" x14ac:dyDescent="0.4">
      <c r="B224" s="1"/>
      <c r="E224" s="1"/>
      <c r="G224" s="1"/>
    </row>
    <row r="225" spans="2:7" ht="13.5" x14ac:dyDescent="0.4">
      <c r="B225" s="1"/>
      <c r="E225" s="1"/>
      <c r="G225" s="1"/>
    </row>
    <row r="226" spans="2:7" ht="13.5" x14ac:dyDescent="0.4">
      <c r="B226" s="1"/>
      <c r="E226" s="1"/>
      <c r="G226" s="1"/>
    </row>
    <row r="227" spans="2:7" ht="13.5" x14ac:dyDescent="0.4">
      <c r="B227" s="1"/>
      <c r="E227" s="1"/>
      <c r="G227" s="1"/>
    </row>
    <row r="228" spans="2:7" ht="13.5" x14ac:dyDescent="0.4">
      <c r="B228" s="1"/>
      <c r="E228" s="1"/>
      <c r="G228" s="1"/>
    </row>
    <row r="229" spans="2:7" ht="13.5" x14ac:dyDescent="0.4">
      <c r="B229" s="1"/>
      <c r="E229" s="1"/>
      <c r="G229" s="1"/>
    </row>
    <row r="230" spans="2:7" ht="13.5" x14ac:dyDescent="0.4">
      <c r="B230" s="1"/>
      <c r="E230" s="1"/>
      <c r="G230" s="1"/>
    </row>
    <row r="231" spans="2:7" ht="13.5" x14ac:dyDescent="0.4">
      <c r="B231" s="1"/>
      <c r="E231" s="1"/>
      <c r="G231" s="1"/>
    </row>
    <row r="232" spans="2:7" ht="13.5" x14ac:dyDescent="0.4">
      <c r="B232" s="1"/>
      <c r="E232" s="1"/>
      <c r="G232" s="1"/>
    </row>
    <row r="233" spans="2:7" ht="13.5" x14ac:dyDescent="0.4">
      <c r="B233" s="1"/>
      <c r="E233" s="1"/>
      <c r="G233" s="1"/>
    </row>
    <row r="234" spans="2:7" ht="13.5" x14ac:dyDescent="0.4">
      <c r="B234" s="1"/>
      <c r="E234" s="1"/>
      <c r="G234" s="1"/>
    </row>
    <row r="235" spans="2:7" ht="13.5" x14ac:dyDescent="0.4">
      <c r="B235" s="1"/>
      <c r="E235" s="1"/>
      <c r="G235" s="1"/>
    </row>
    <row r="236" spans="2:7" ht="13.5" x14ac:dyDescent="0.4">
      <c r="B236" s="1"/>
      <c r="E236" s="1"/>
      <c r="G236" s="1"/>
    </row>
    <row r="237" spans="2:7" ht="13.5" x14ac:dyDescent="0.4">
      <c r="B237" s="1"/>
      <c r="E237" s="1"/>
      <c r="G237" s="1"/>
    </row>
    <row r="238" spans="2:7" ht="13.5" x14ac:dyDescent="0.4">
      <c r="B238" s="1"/>
      <c r="E238" s="1"/>
      <c r="G238" s="1"/>
    </row>
    <row r="239" spans="2:7" ht="13.5" x14ac:dyDescent="0.4">
      <c r="B239" s="1"/>
      <c r="E239" s="1"/>
      <c r="G239" s="1"/>
    </row>
    <row r="240" spans="2:7" ht="13.5" x14ac:dyDescent="0.4">
      <c r="B240" s="1"/>
      <c r="E240" s="1"/>
      <c r="G240" s="1"/>
    </row>
    <row r="241" spans="2:7" ht="13.5" x14ac:dyDescent="0.4">
      <c r="B241" s="1"/>
      <c r="E241" s="1"/>
      <c r="G241" s="1"/>
    </row>
    <row r="242" spans="2:7" ht="13.5" x14ac:dyDescent="0.4">
      <c r="B242" s="1"/>
      <c r="E242" s="1"/>
      <c r="G242" s="1"/>
    </row>
    <row r="243" spans="2:7" ht="13.5" x14ac:dyDescent="0.4">
      <c r="B243" s="1"/>
      <c r="E243" s="1"/>
      <c r="G243" s="1"/>
    </row>
    <row r="244" spans="2:7" ht="13.5" x14ac:dyDescent="0.4">
      <c r="B244" s="1"/>
      <c r="E244" s="1"/>
      <c r="G244" s="1"/>
    </row>
    <row r="245" spans="2:7" ht="13.5" x14ac:dyDescent="0.4">
      <c r="B245" s="1"/>
      <c r="E245" s="1"/>
      <c r="G245" s="1"/>
    </row>
    <row r="246" spans="2:7" ht="13.5" x14ac:dyDescent="0.4">
      <c r="B246" s="1"/>
      <c r="E246" s="1"/>
      <c r="G246" s="1"/>
    </row>
    <row r="247" spans="2:7" ht="13.5" x14ac:dyDescent="0.4">
      <c r="B247" s="1"/>
      <c r="E247" s="1"/>
      <c r="G247" s="1"/>
    </row>
    <row r="248" spans="2:7" ht="13.5" x14ac:dyDescent="0.4">
      <c r="B248" s="1"/>
      <c r="E248" s="1"/>
      <c r="G248" s="1"/>
    </row>
    <row r="249" spans="2:7" ht="13.5" x14ac:dyDescent="0.4">
      <c r="B249" s="1"/>
      <c r="E249" s="1"/>
      <c r="G249" s="1"/>
    </row>
    <row r="250" spans="2:7" ht="13.5" x14ac:dyDescent="0.4">
      <c r="B250" s="1"/>
      <c r="E250" s="1"/>
      <c r="G250" s="1"/>
    </row>
    <row r="251" spans="2:7" ht="13.5" x14ac:dyDescent="0.4">
      <c r="B251" s="1"/>
      <c r="E251" s="1"/>
      <c r="G251" s="1"/>
    </row>
    <row r="252" spans="2:7" ht="13.5" x14ac:dyDescent="0.4">
      <c r="B252" s="1"/>
      <c r="E252" s="1"/>
      <c r="G252" s="1"/>
    </row>
    <row r="253" spans="2:7" ht="13.5" x14ac:dyDescent="0.4">
      <c r="B253" s="1"/>
      <c r="E253" s="1"/>
      <c r="G253" s="1"/>
    </row>
    <row r="254" spans="2:7" ht="13.5" x14ac:dyDescent="0.4">
      <c r="B254" s="1"/>
      <c r="E254" s="1"/>
      <c r="G254" s="1"/>
    </row>
    <row r="255" spans="2:7" ht="13.5" x14ac:dyDescent="0.4">
      <c r="B255" s="1"/>
      <c r="E255" s="1"/>
      <c r="G255" s="1"/>
    </row>
    <row r="256" spans="2:7" ht="13.5" x14ac:dyDescent="0.4">
      <c r="B256" s="1"/>
      <c r="E256" s="1"/>
      <c r="G256" s="1"/>
    </row>
    <row r="257" spans="2:7" ht="13.5" x14ac:dyDescent="0.4">
      <c r="B257" s="1"/>
      <c r="E257" s="1"/>
      <c r="G257" s="1"/>
    </row>
    <row r="258" spans="2:7" ht="13.5" x14ac:dyDescent="0.4">
      <c r="B258" s="1"/>
      <c r="E258" s="1"/>
      <c r="G258" s="1"/>
    </row>
    <row r="259" spans="2:7" ht="13.5" x14ac:dyDescent="0.4">
      <c r="B259" s="1"/>
      <c r="E259" s="1"/>
      <c r="G259" s="1"/>
    </row>
    <row r="260" spans="2:7" ht="13.5" x14ac:dyDescent="0.4">
      <c r="B260" s="1"/>
      <c r="E260" s="1"/>
      <c r="G260" s="1"/>
    </row>
    <row r="261" spans="2:7" ht="13.5" x14ac:dyDescent="0.4">
      <c r="B261" s="1"/>
      <c r="E261" s="1"/>
      <c r="G261" s="1"/>
    </row>
    <row r="262" spans="2:7" ht="13.5" x14ac:dyDescent="0.4">
      <c r="B262" s="1"/>
      <c r="E262" s="1"/>
      <c r="G262" s="1"/>
    </row>
    <row r="263" spans="2:7" ht="13.5" x14ac:dyDescent="0.4">
      <c r="B263" s="1"/>
      <c r="E263" s="1"/>
      <c r="G263" s="1"/>
    </row>
    <row r="264" spans="2:7" ht="13.5" x14ac:dyDescent="0.4">
      <c r="B264" s="1"/>
      <c r="E264" s="1"/>
      <c r="G264" s="1"/>
    </row>
    <row r="265" spans="2:7" ht="13.5" x14ac:dyDescent="0.4">
      <c r="B265" s="1"/>
      <c r="E265" s="1"/>
      <c r="G265" s="1"/>
    </row>
    <row r="266" spans="2:7" ht="13.5" x14ac:dyDescent="0.4">
      <c r="B266" s="1"/>
      <c r="E266" s="1"/>
      <c r="G266" s="1"/>
    </row>
    <row r="267" spans="2:7" ht="13.5" x14ac:dyDescent="0.4">
      <c r="B267" s="1"/>
      <c r="E267" s="1"/>
      <c r="G267" s="1"/>
    </row>
    <row r="268" spans="2:7" ht="13.5" x14ac:dyDescent="0.4">
      <c r="B268" s="1"/>
      <c r="E268" s="1"/>
      <c r="G268" s="1"/>
    </row>
    <row r="269" spans="2:7" ht="13.5" x14ac:dyDescent="0.4">
      <c r="B269" s="1"/>
      <c r="E269" s="1"/>
      <c r="G269" s="1"/>
    </row>
    <row r="270" spans="2:7" ht="13.5" x14ac:dyDescent="0.4">
      <c r="B270" s="1"/>
      <c r="E270" s="1"/>
      <c r="G270" s="1"/>
    </row>
    <row r="271" spans="2:7" ht="13.5" x14ac:dyDescent="0.4">
      <c r="B271" s="1"/>
      <c r="E271" s="1"/>
      <c r="G271" s="1"/>
    </row>
    <row r="272" spans="2:7" ht="13.5" x14ac:dyDescent="0.4">
      <c r="B272" s="1"/>
      <c r="E272" s="1"/>
      <c r="G272" s="1"/>
    </row>
    <row r="273" spans="2:7" ht="13.5" x14ac:dyDescent="0.4">
      <c r="B273" s="1"/>
      <c r="E273" s="1"/>
      <c r="G273" s="1"/>
    </row>
    <row r="274" spans="2:7" ht="13.5" x14ac:dyDescent="0.4">
      <c r="B274" s="1"/>
      <c r="E274" s="1"/>
      <c r="G274" s="1"/>
    </row>
    <row r="275" spans="2:7" ht="13.5" x14ac:dyDescent="0.4">
      <c r="B275" s="1"/>
      <c r="E275" s="1"/>
      <c r="G275" s="1"/>
    </row>
    <row r="276" spans="2:7" ht="13.5" x14ac:dyDescent="0.4">
      <c r="B276" s="1"/>
      <c r="E276" s="1"/>
      <c r="G276" s="1"/>
    </row>
    <row r="277" spans="2:7" ht="13.5" x14ac:dyDescent="0.4">
      <c r="B277" s="1"/>
      <c r="E277" s="1"/>
      <c r="G277" s="1"/>
    </row>
    <row r="278" spans="2:7" ht="13.5" x14ac:dyDescent="0.4">
      <c r="B278" s="1"/>
      <c r="E278" s="1"/>
      <c r="G278" s="1"/>
    </row>
    <row r="279" spans="2:7" ht="13.5" x14ac:dyDescent="0.4">
      <c r="B279" s="1"/>
      <c r="E279" s="1"/>
      <c r="G279" s="1"/>
    </row>
    <row r="280" spans="2:7" ht="13.5" x14ac:dyDescent="0.4">
      <c r="B280" s="1"/>
      <c r="E280" s="1"/>
      <c r="G280" s="1"/>
    </row>
    <row r="281" spans="2:7" ht="13.5" x14ac:dyDescent="0.4">
      <c r="B281" s="1"/>
      <c r="E281" s="1"/>
      <c r="G281" s="1"/>
    </row>
    <row r="282" spans="2:7" ht="13.5" x14ac:dyDescent="0.4">
      <c r="B282" s="1"/>
      <c r="E282" s="1"/>
      <c r="G282" s="1"/>
    </row>
    <row r="283" spans="2:7" ht="13.5" x14ac:dyDescent="0.4">
      <c r="B283" s="1"/>
      <c r="E283" s="1"/>
      <c r="G283" s="1"/>
    </row>
    <row r="284" spans="2:7" ht="13.5" x14ac:dyDescent="0.4">
      <c r="B284" s="1"/>
      <c r="E284" s="1"/>
      <c r="G284" s="1"/>
    </row>
    <row r="285" spans="2:7" ht="13.5" x14ac:dyDescent="0.4">
      <c r="B285" s="1"/>
      <c r="E285" s="1"/>
      <c r="G285" s="1"/>
    </row>
    <row r="286" spans="2:7" ht="13.5" x14ac:dyDescent="0.4">
      <c r="B286" s="1"/>
      <c r="E286" s="1"/>
      <c r="G286" s="1"/>
    </row>
    <row r="287" spans="2:7" ht="13.5" x14ac:dyDescent="0.4">
      <c r="B287" s="1"/>
      <c r="E287" s="1"/>
      <c r="G287" s="1"/>
    </row>
    <row r="288" spans="2:7" ht="13.5" x14ac:dyDescent="0.4">
      <c r="B288" s="1"/>
      <c r="E288" s="1"/>
      <c r="G288" s="1"/>
    </row>
    <row r="289" spans="2:7" ht="13.5" x14ac:dyDescent="0.4">
      <c r="B289" s="1"/>
      <c r="E289" s="1"/>
      <c r="G289" s="1"/>
    </row>
    <row r="290" spans="2:7" ht="13.5" x14ac:dyDescent="0.4">
      <c r="B290" s="1"/>
      <c r="E290" s="1"/>
      <c r="G290" s="1"/>
    </row>
    <row r="291" spans="2:7" ht="13.5" x14ac:dyDescent="0.4">
      <c r="B291" s="1"/>
      <c r="E291" s="1"/>
      <c r="G291" s="1"/>
    </row>
    <row r="292" spans="2:7" ht="13.5" x14ac:dyDescent="0.4">
      <c r="B292" s="1"/>
      <c r="E292" s="1"/>
      <c r="G292" s="1"/>
    </row>
    <row r="293" spans="2:7" ht="13.5" x14ac:dyDescent="0.4">
      <c r="B293" s="1"/>
      <c r="E293" s="1"/>
      <c r="G293" s="1"/>
    </row>
    <row r="294" spans="2:7" ht="13.5" x14ac:dyDescent="0.4">
      <c r="B294" s="1"/>
      <c r="E294" s="1"/>
      <c r="G294" s="1"/>
    </row>
    <row r="295" spans="2:7" ht="13.5" x14ac:dyDescent="0.4">
      <c r="B295" s="1"/>
      <c r="E295" s="1"/>
      <c r="G295" s="1"/>
    </row>
    <row r="296" spans="2:7" ht="13.5" x14ac:dyDescent="0.4">
      <c r="B296" s="1"/>
      <c r="E296" s="1"/>
      <c r="G296" s="1"/>
    </row>
    <row r="297" spans="2:7" ht="13.5" x14ac:dyDescent="0.4">
      <c r="B297" s="1"/>
      <c r="E297" s="1"/>
      <c r="G297" s="1"/>
    </row>
    <row r="298" spans="2:7" ht="13.5" x14ac:dyDescent="0.4">
      <c r="B298" s="1"/>
      <c r="E298" s="1"/>
      <c r="G298" s="1"/>
    </row>
    <row r="299" spans="2:7" ht="13.5" x14ac:dyDescent="0.4">
      <c r="B299" s="1"/>
      <c r="E299" s="1"/>
      <c r="G299" s="1"/>
    </row>
    <row r="300" spans="2:7" ht="13.5" x14ac:dyDescent="0.4">
      <c r="B300" s="1"/>
      <c r="E300" s="1"/>
      <c r="G300" s="1"/>
    </row>
    <row r="301" spans="2:7" ht="13.5" x14ac:dyDescent="0.4">
      <c r="B301" s="1"/>
      <c r="E301" s="1"/>
      <c r="G301" s="1"/>
    </row>
    <row r="302" spans="2:7" ht="13.5" x14ac:dyDescent="0.4">
      <c r="B302" s="1"/>
      <c r="E302" s="1"/>
      <c r="G302" s="1"/>
    </row>
    <row r="303" spans="2:7" ht="13.5" x14ac:dyDescent="0.4">
      <c r="B303" s="1"/>
      <c r="E303" s="1"/>
      <c r="G303" s="1"/>
    </row>
    <row r="304" spans="2:7" ht="13.5" x14ac:dyDescent="0.4">
      <c r="B304" s="1"/>
      <c r="E304" s="1"/>
      <c r="G304" s="1"/>
    </row>
    <row r="305" spans="2:7" ht="13.5" x14ac:dyDescent="0.4">
      <c r="B305" s="1"/>
      <c r="E305" s="1"/>
      <c r="G305" s="1"/>
    </row>
    <row r="306" spans="2:7" ht="13.5" x14ac:dyDescent="0.4">
      <c r="B306" s="1"/>
      <c r="E306" s="1"/>
      <c r="G306" s="1"/>
    </row>
    <row r="307" spans="2:7" ht="13.5" x14ac:dyDescent="0.4">
      <c r="B307" s="1"/>
      <c r="E307" s="1"/>
      <c r="G307" s="1"/>
    </row>
    <row r="308" spans="2:7" ht="13.5" x14ac:dyDescent="0.4">
      <c r="B308" s="1"/>
      <c r="E308" s="1"/>
      <c r="G308" s="1"/>
    </row>
    <row r="309" spans="2:7" ht="13.5" x14ac:dyDescent="0.4">
      <c r="B309" s="1"/>
      <c r="E309" s="1"/>
      <c r="G309" s="1"/>
    </row>
    <row r="310" spans="2:7" ht="13.5" x14ac:dyDescent="0.4">
      <c r="B310" s="1"/>
      <c r="E310" s="1"/>
      <c r="G310" s="1"/>
    </row>
    <row r="311" spans="2:7" ht="13.5" x14ac:dyDescent="0.4">
      <c r="B311" s="1"/>
      <c r="E311" s="1"/>
      <c r="G311" s="1"/>
    </row>
    <row r="312" spans="2:7" ht="13.5" x14ac:dyDescent="0.4">
      <c r="B312" s="1"/>
      <c r="E312" s="1"/>
      <c r="G312" s="1"/>
    </row>
    <row r="313" spans="2:7" ht="13.5" x14ac:dyDescent="0.4">
      <c r="B313" s="1"/>
      <c r="E313" s="1"/>
      <c r="G313" s="1"/>
    </row>
    <row r="314" spans="2:7" ht="13.5" x14ac:dyDescent="0.4">
      <c r="B314" s="1"/>
      <c r="E314" s="1"/>
      <c r="G314" s="1"/>
    </row>
    <row r="315" spans="2:7" ht="13.5" x14ac:dyDescent="0.4">
      <c r="B315" s="1"/>
      <c r="E315" s="1"/>
      <c r="G315" s="1"/>
    </row>
    <row r="316" spans="2:7" ht="13.5" x14ac:dyDescent="0.4">
      <c r="B316" s="1"/>
      <c r="E316" s="1"/>
      <c r="G316" s="1"/>
    </row>
    <row r="317" spans="2:7" ht="13.5" x14ac:dyDescent="0.4">
      <c r="B317" s="1"/>
      <c r="E317" s="1"/>
      <c r="G317" s="1"/>
    </row>
    <row r="318" spans="2:7" ht="13.5" x14ac:dyDescent="0.4">
      <c r="B318" s="1"/>
      <c r="E318" s="1"/>
      <c r="G318" s="1"/>
    </row>
    <row r="319" spans="2:7" ht="13.5" x14ac:dyDescent="0.4">
      <c r="B319" s="1"/>
      <c r="E319" s="1"/>
      <c r="G319" s="1"/>
    </row>
    <row r="320" spans="2:7" ht="13.5" x14ac:dyDescent="0.4">
      <c r="B320" s="1"/>
      <c r="E320" s="1"/>
      <c r="G320" s="1"/>
    </row>
    <row r="321" spans="2:7" ht="13.5" x14ac:dyDescent="0.4">
      <c r="B321" s="1"/>
      <c r="E321" s="1"/>
      <c r="G321" s="1"/>
    </row>
    <row r="322" spans="2:7" ht="13.5" x14ac:dyDescent="0.4">
      <c r="B322" s="1"/>
      <c r="E322" s="1"/>
      <c r="G322" s="1"/>
    </row>
    <row r="323" spans="2:7" ht="13.5" x14ac:dyDescent="0.4">
      <c r="B323" s="1"/>
      <c r="E323" s="1"/>
      <c r="G323" s="1"/>
    </row>
    <row r="324" spans="2:7" ht="13.5" x14ac:dyDescent="0.4">
      <c r="B324" s="1"/>
      <c r="E324" s="1"/>
      <c r="G324" s="1"/>
    </row>
    <row r="325" spans="2:7" ht="13.5" x14ac:dyDescent="0.4">
      <c r="B325" s="1"/>
      <c r="E325" s="1"/>
      <c r="G325" s="1"/>
    </row>
    <row r="326" spans="2:7" ht="13.5" x14ac:dyDescent="0.4">
      <c r="B326" s="1"/>
      <c r="E326" s="1"/>
      <c r="G326" s="1"/>
    </row>
    <row r="327" spans="2:7" ht="13.5" x14ac:dyDescent="0.4">
      <c r="B327" s="1"/>
      <c r="E327" s="1"/>
      <c r="G327" s="1"/>
    </row>
    <row r="328" spans="2:7" ht="13.5" x14ac:dyDescent="0.4">
      <c r="B328" s="1"/>
      <c r="E328" s="1"/>
      <c r="G328" s="1"/>
    </row>
    <row r="329" spans="2:7" ht="13.5" x14ac:dyDescent="0.4">
      <c r="B329" s="1"/>
      <c r="E329" s="1"/>
      <c r="G329" s="1"/>
    </row>
    <row r="330" spans="2:7" ht="13.5" x14ac:dyDescent="0.4">
      <c r="B330" s="1"/>
      <c r="E330" s="1"/>
      <c r="G330" s="1"/>
    </row>
    <row r="331" spans="2:7" ht="13.5" x14ac:dyDescent="0.4">
      <c r="B331" s="1"/>
      <c r="E331" s="1"/>
      <c r="G331" s="1"/>
    </row>
    <row r="332" spans="2:7" ht="13.5" x14ac:dyDescent="0.4">
      <c r="B332" s="1"/>
      <c r="E332" s="1"/>
      <c r="G332" s="1"/>
    </row>
    <row r="333" spans="2:7" ht="13.5" x14ac:dyDescent="0.4">
      <c r="B333" s="1"/>
      <c r="E333" s="1"/>
      <c r="G333" s="1"/>
    </row>
    <row r="334" spans="2:7" ht="13.5" x14ac:dyDescent="0.4">
      <c r="B334" s="1"/>
      <c r="E334" s="1"/>
      <c r="G334" s="1"/>
    </row>
    <row r="335" spans="2:7" ht="13.5" x14ac:dyDescent="0.4">
      <c r="B335" s="1"/>
      <c r="E335" s="1"/>
      <c r="G335" s="1"/>
    </row>
    <row r="336" spans="2:7" ht="13.5" x14ac:dyDescent="0.4">
      <c r="B336" s="1"/>
      <c r="E336" s="1"/>
      <c r="G336" s="1"/>
    </row>
    <row r="337" spans="2:7" ht="13.5" x14ac:dyDescent="0.4">
      <c r="B337" s="1"/>
      <c r="E337" s="1"/>
      <c r="G337" s="1"/>
    </row>
    <row r="338" spans="2:7" ht="13.5" x14ac:dyDescent="0.4">
      <c r="B338" s="1"/>
      <c r="E338" s="1"/>
      <c r="G338" s="1"/>
    </row>
    <row r="339" spans="2:7" ht="13.5" x14ac:dyDescent="0.4">
      <c r="B339" s="1"/>
      <c r="E339" s="1"/>
      <c r="G339" s="1"/>
    </row>
    <row r="340" spans="2:7" ht="13.5" x14ac:dyDescent="0.4">
      <c r="B340" s="1"/>
      <c r="E340" s="1"/>
      <c r="G340" s="1"/>
    </row>
    <row r="341" spans="2:7" ht="13.5" x14ac:dyDescent="0.4">
      <c r="B341" s="1"/>
      <c r="E341" s="1"/>
      <c r="G341" s="1"/>
    </row>
    <row r="342" spans="2:7" ht="13.5" x14ac:dyDescent="0.4">
      <c r="B342" s="1"/>
      <c r="E342" s="1"/>
      <c r="G342" s="1"/>
    </row>
    <row r="343" spans="2:7" ht="13.5" x14ac:dyDescent="0.4">
      <c r="B343" s="1"/>
      <c r="E343" s="1"/>
      <c r="G343" s="1"/>
    </row>
    <row r="344" spans="2:7" ht="13.5" x14ac:dyDescent="0.4">
      <c r="B344" s="1"/>
      <c r="E344" s="1"/>
      <c r="G344" s="1"/>
    </row>
    <row r="345" spans="2:7" ht="13.5" x14ac:dyDescent="0.4">
      <c r="B345" s="1"/>
      <c r="E345" s="1"/>
      <c r="G345" s="1"/>
    </row>
    <row r="346" spans="2:7" ht="13.5" x14ac:dyDescent="0.4">
      <c r="B346" s="1"/>
      <c r="E346" s="1"/>
      <c r="G346" s="1"/>
    </row>
    <row r="347" spans="2:7" ht="13.5" x14ac:dyDescent="0.4">
      <c r="B347" s="1"/>
      <c r="E347" s="1"/>
      <c r="G347" s="1"/>
    </row>
    <row r="348" spans="2:7" ht="13.5" x14ac:dyDescent="0.4">
      <c r="B348" s="1"/>
      <c r="E348" s="1"/>
      <c r="G348" s="1"/>
    </row>
    <row r="349" spans="2:7" ht="13.5" x14ac:dyDescent="0.4">
      <c r="B349" s="1"/>
      <c r="E349" s="1"/>
      <c r="G349" s="1"/>
    </row>
    <row r="350" spans="2:7" ht="13.5" x14ac:dyDescent="0.4">
      <c r="B350" s="1"/>
      <c r="E350" s="1"/>
      <c r="G350" s="1"/>
    </row>
    <row r="351" spans="2:7" ht="13.5" x14ac:dyDescent="0.4">
      <c r="B351" s="1"/>
      <c r="E351" s="1"/>
      <c r="G351" s="1"/>
    </row>
    <row r="352" spans="2:7" ht="13.5" x14ac:dyDescent="0.4">
      <c r="B352" s="1"/>
      <c r="E352" s="1"/>
      <c r="G352" s="1"/>
    </row>
    <row r="353" spans="2:7" ht="13.5" x14ac:dyDescent="0.4">
      <c r="B353" s="1"/>
      <c r="E353" s="1"/>
      <c r="G353" s="1"/>
    </row>
    <row r="354" spans="2:7" ht="13.5" x14ac:dyDescent="0.4">
      <c r="B354" s="1"/>
      <c r="E354" s="1"/>
      <c r="G354" s="1"/>
    </row>
    <row r="355" spans="2:7" ht="13.5" x14ac:dyDescent="0.4">
      <c r="B355" s="1"/>
      <c r="E355" s="1"/>
      <c r="G355" s="1"/>
    </row>
    <row r="356" spans="2:7" ht="13.5" x14ac:dyDescent="0.4">
      <c r="B356" s="1"/>
      <c r="E356" s="1"/>
      <c r="G356" s="1"/>
    </row>
    <row r="357" spans="2:7" ht="13.5" x14ac:dyDescent="0.4">
      <c r="B357" s="1"/>
      <c r="E357" s="1"/>
      <c r="G357" s="1"/>
    </row>
    <row r="358" spans="2:7" ht="13.5" x14ac:dyDescent="0.4">
      <c r="B358" s="1"/>
      <c r="E358" s="1"/>
      <c r="G358" s="1"/>
    </row>
    <row r="359" spans="2:7" ht="13.5" x14ac:dyDescent="0.4">
      <c r="B359" s="1"/>
      <c r="E359" s="1"/>
      <c r="G359" s="1"/>
    </row>
    <row r="360" spans="2:7" ht="13.5" x14ac:dyDescent="0.4">
      <c r="B360" s="1"/>
      <c r="E360" s="1"/>
      <c r="G360" s="1"/>
    </row>
    <row r="361" spans="2:7" ht="13.5" x14ac:dyDescent="0.4">
      <c r="B361" s="1"/>
      <c r="E361" s="1"/>
      <c r="G361" s="1"/>
    </row>
    <row r="362" spans="2:7" ht="13.5" x14ac:dyDescent="0.4">
      <c r="B362" s="1"/>
      <c r="E362" s="1"/>
      <c r="G362" s="1"/>
    </row>
    <row r="363" spans="2:7" ht="13.5" x14ac:dyDescent="0.4">
      <c r="B363" s="1"/>
      <c r="E363" s="1"/>
      <c r="G363" s="1"/>
    </row>
    <row r="364" spans="2:7" ht="13.5" x14ac:dyDescent="0.4">
      <c r="B364" s="1"/>
      <c r="E364" s="1"/>
      <c r="G364" s="1"/>
    </row>
    <row r="365" spans="2:7" ht="13.5" x14ac:dyDescent="0.4">
      <c r="B365" s="1"/>
      <c r="E365" s="1"/>
      <c r="G365" s="1"/>
    </row>
    <row r="366" spans="2:7" ht="13.5" x14ac:dyDescent="0.4">
      <c r="B366" s="1"/>
      <c r="E366" s="1"/>
      <c r="G366" s="1"/>
    </row>
    <row r="367" spans="2:7" ht="13.5" x14ac:dyDescent="0.4">
      <c r="B367" s="1"/>
      <c r="E367" s="1"/>
      <c r="G367" s="1"/>
    </row>
    <row r="368" spans="2:7" ht="13.5" x14ac:dyDescent="0.4">
      <c r="B368" s="1"/>
      <c r="E368" s="1"/>
      <c r="G368" s="1"/>
    </row>
    <row r="369" spans="2:7" ht="13.5" x14ac:dyDescent="0.4">
      <c r="B369" s="1"/>
      <c r="E369" s="1"/>
      <c r="G369" s="1"/>
    </row>
    <row r="370" spans="2:7" ht="13.5" x14ac:dyDescent="0.4">
      <c r="B370" s="1"/>
      <c r="E370" s="1"/>
      <c r="G370" s="1"/>
    </row>
    <row r="371" spans="2:7" ht="13.5" x14ac:dyDescent="0.4">
      <c r="B371" s="1"/>
      <c r="E371" s="1"/>
      <c r="G371" s="1"/>
    </row>
    <row r="372" spans="2:7" ht="13.5" x14ac:dyDescent="0.4">
      <c r="B372" s="1"/>
      <c r="E372" s="1"/>
      <c r="G372" s="1"/>
    </row>
    <row r="373" spans="2:7" ht="13.5" x14ac:dyDescent="0.4">
      <c r="B373" s="1"/>
      <c r="E373" s="1"/>
      <c r="G373" s="1"/>
    </row>
    <row r="374" spans="2:7" ht="13.5" x14ac:dyDescent="0.4">
      <c r="B374" s="1"/>
      <c r="E374" s="1"/>
      <c r="G374" s="1"/>
    </row>
    <row r="375" spans="2:7" ht="13.5" x14ac:dyDescent="0.4">
      <c r="B375" s="1"/>
      <c r="E375" s="1"/>
      <c r="G375" s="1"/>
    </row>
    <row r="376" spans="2:7" ht="13.5" x14ac:dyDescent="0.4">
      <c r="B376" s="1"/>
      <c r="E376" s="1"/>
      <c r="G376" s="1"/>
    </row>
    <row r="377" spans="2:7" ht="13.5" x14ac:dyDescent="0.4">
      <c r="B377" s="1"/>
      <c r="E377" s="1"/>
      <c r="G377" s="1"/>
    </row>
    <row r="378" spans="2:7" ht="13.5" x14ac:dyDescent="0.4">
      <c r="B378" s="1"/>
      <c r="E378" s="1"/>
      <c r="G378" s="1"/>
    </row>
    <row r="379" spans="2:7" ht="13.5" x14ac:dyDescent="0.4">
      <c r="B379" s="1"/>
      <c r="E379" s="1"/>
      <c r="G379" s="1"/>
    </row>
    <row r="380" spans="2:7" ht="13.5" x14ac:dyDescent="0.4">
      <c r="B380" s="1"/>
      <c r="E380" s="1"/>
      <c r="G380" s="1"/>
    </row>
    <row r="381" spans="2:7" ht="13.5" x14ac:dyDescent="0.4">
      <c r="B381" s="1"/>
      <c r="E381" s="1"/>
      <c r="G381" s="1"/>
    </row>
    <row r="382" spans="2:7" ht="13.5" x14ac:dyDescent="0.4">
      <c r="B382" s="1"/>
      <c r="E382" s="1"/>
      <c r="G382" s="1"/>
    </row>
    <row r="383" spans="2:7" ht="13.5" x14ac:dyDescent="0.4">
      <c r="B383" s="1"/>
      <c r="E383" s="1"/>
      <c r="G383" s="1"/>
    </row>
    <row r="384" spans="2:7" ht="13.5" x14ac:dyDescent="0.4">
      <c r="B384" s="1"/>
      <c r="E384" s="1"/>
      <c r="G384" s="1"/>
    </row>
    <row r="385" spans="2:7" ht="13.5" x14ac:dyDescent="0.4">
      <c r="B385" s="1"/>
      <c r="E385" s="1"/>
      <c r="G385" s="1"/>
    </row>
    <row r="386" spans="2:7" ht="13.5" x14ac:dyDescent="0.4">
      <c r="B386" s="1"/>
      <c r="E386" s="1"/>
      <c r="G386" s="1"/>
    </row>
    <row r="387" spans="2:7" ht="13.5" x14ac:dyDescent="0.4">
      <c r="B387" s="1"/>
      <c r="E387" s="1"/>
      <c r="G387" s="1"/>
    </row>
    <row r="388" spans="2:7" ht="13.5" x14ac:dyDescent="0.4">
      <c r="B388" s="1"/>
      <c r="E388" s="1"/>
      <c r="G388" s="1"/>
    </row>
    <row r="389" spans="2:7" ht="13.5" x14ac:dyDescent="0.4">
      <c r="B389" s="1"/>
      <c r="E389" s="1"/>
      <c r="G389" s="1"/>
    </row>
    <row r="390" spans="2:7" ht="13.5" x14ac:dyDescent="0.4">
      <c r="B390" s="1"/>
      <c r="E390" s="1"/>
      <c r="G390" s="1"/>
    </row>
    <row r="391" spans="2:7" ht="13.5" x14ac:dyDescent="0.4">
      <c r="B391" s="1"/>
      <c r="E391" s="1"/>
      <c r="G391" s="1"/>
    </row>
    <row r="392" spans="2:7" ht="13.5" x14ac:dyDescent="0.4">
      <c r="B392" s="1"/>
      <c r="E392" s="1"/>
      <c r="G392" s="1"/>
    </row>
    <row r="393" spans="2:7" ht="13.5" x14ac:dyDescent="0.4">
      <c r="B393" s="1"/>
      <c r="E393" s="1"/>
      <c r="G393" s="1"/>
    </row>
    <row r="394" spans="2:7" ht="13.5" x14ac:dyDescent="0.4">
      <c r="B394" s="1"/>
      <c r="E394" s="1"/>
      <c r="G394" s="1"/>
    </row>
    <row r="395" spans="2:7" ht="13.5" x14ac:dyDescent="0.4">
      <c r="B395" s="1"/>
      <c r="E395" s="1"/>
      <c r="G395" s="1"/>
    </row>
    <row r="396" spans="2:7" ht="13.5" x14ac:dyDescent="0.4">
      <c r="B396" s="1"/>
      <c r="E396" s="1"/>
      <c r="G396" s="1"/>
    </row>
    <row r="397" spans="2:7" ht="13.5" x14ac:dyDescent="0.4">
      <c r="B397" s="1"/>
      <c r="E397" s="1"/>
      <c r="G397" s="1"/>
    </row>
    <row r="398" spans="2:7" ht="13.5" x14ac:dyDescent="0.4">
      <c r="B398" s="1"/>
      <c r="E398" s="1"/>
      <c r="G398" s="1"/>
    </row>
    <row r="399" spans="2:7" ht="13.5" x14ac:dyDescent="0.4">
      <c r="B399" s="1"/>
      <c r="E399" s="1"/>
      <c r="G399" s="1"/>
    </row>
    <row r="400" spans="2:7" ht="13.5" x14ac:dyDescent="0.4">
      <c r="B400" s="1"/>
      <c r="E400" s="1"/>
      <c r="G400" s="1"/>
    </row>
    <row r="401" spans="2:7" ht="13.5" x14ac:dyDescent="0.4">
      <c r="B401" s="1"/>
      <c r="E401" s="1"/>
      <c r="G401" s="1"/>
    </row>
    <row r="402" spans="2:7" ht="13.5" x14ac:dyDescent="0.4">
      <c r="B402" s="1"/>
      <c r="E402" s="1"/>
      <c r="G402" s="1"/>
    </row>
    <row r="403" spans="2:7" ht="13.5" x14ac:dyDescent="0.4">
      <c r="B403" s="1"/>
      <c r="E403" s="1"/>
      <c r="G403" s="1"/>
    </row>
    <row r="404" spans="2:7" ht="13.5" x14ac:dyDescent="0.4">
      <c r="B404" s="1"/>
      <c r="E404" s="1"/>
      <c r="G404" s="1"/>
    </row>
    <row r="405" spans="2:7" ht="13.5" x14ac:dyDescent="0.4">
      <c r="B405" s="1"/>
      <c r="E405" s="1"/>
      <c r="G405" s="1"/>
    </row>
    <row r="406" spans="2:7" ht="13.5" x14ac:dyDescent="0.4">
      <c r="B406" s="1"/>
      <c r="E406" s="1"/>
      <c r="G406" s="1"/>
    </row>
    <row r="407" spans="2:7" ht="13.5" x14ac:dyDescent="0.4">
      <c r="B407" s="1"/>
      <c r="E407" s="1"/>
      <c r="G407" s="1"/>
    </row>
    <row r="408" spans="2:7" ht="13.5" x14ac:dyDescent="0.4">
      <c r="B408" s="1"/>
      <c r="E408" s="1"/>
      <c r="G408" s="1"/>
    </row>
    <row r="409" spans="2:7" ht="13.5" x14ac:dyDescent="0.4">
      <c r="B409" s="1"/>
      <c r="E409" s="1"/>
      <c r="G409" s="1"/>
    </row>
    <row r="410" spans="2:7" ht="13.5" x14ac:dyDescent="0.4">
      <c r="B410" s="1"/>
      <c r="E410" s="1"/>
      <c r="G410" s="1"/>
    </row>
    <row r="411" spans="2:7" ht="13.5" x14ac:dyDescent="0.4">
      <c r="B411" s="1"/>
      <c r="E411" s="1"/>
      <c r="G411" s="1"/>
    </row>
    <row r="412" spans="2:7" ht="13.5" x14ac:dyDescent="0.4">
      <c r="B412" s="1"/>
      <c r="E412" s="1"/>
      <c r="G412" s="1"/>
    </row>
    <row r="413" spans="2:7" ht="13.5" x14ac:dyDescent="0.4">
      <c r="B413" s="1"/>
      <c r="E413" s="1"/>
      <c r="G413" s="1"/>
    </row>
    <row r="414" spans="2:7" ht="13.5" x14ac:dyDescent="0.4">
      <c r="B414" s="1"/>
      <c r="E414" s="1"/>
      <c r="G414" s="1"/>
    </row>
    <row r="415" spans="2:7" ht="13.5" x14ac:dyDescent="0.4">
      <c r="B415" s="1"/>
      <c r="E415" s="1"/>
      <c r="G415" s="1"/>
    </row>
    <row r="416" spans="2:7" ht="13.5" x14ac:dyDescent="0.4">
      <c r="B416" s="1"/>
      <c r="E416" s="1"/>
      <c r="G416" s="1"/>
    </row>
    <row r="417" spans="2:7" ht="13.5" x14ac:dyDescent="0.4">
      <c r="B417" s="1"/>
      <c r="E417" s="1"/>
      <c r="G417" s="1"/>
    </row>
    <row r="418" spans="2:7" ht="13.5" x14ac:dyDescent="0.4">
      <c r="B418" s="1"/>
      <c r="E418" s="1"/>
      <c r="G418" s="1"/>
    </row>
    <row r="419" spans="2:7" ht="13.5" x14ac:dyDescent="0.4">
      <c r="B419" s="1"/>
      <c r="E419" s="1"/>
      <c r="G419" s="1"/>
    </row>
    <row r="420" spans="2:7" ht="13.5" x14ac:dyDescent="0.4">
      <c r="B420" s="1"/>
      <c r="E420" s="1"/>
      <c r="G420" s="1"/>
    </row>
    <row r="421" spans="2:7" ht="13.5" x14ac:dyDescent="0.4">
      <c r="B421" s="1"/>
      <c r="E421" s="1"/>
      <c r="G421" s="1"/>
    </row>
    <row r="422" spans="2:7" ht="13.5" x14ac:dyDescent="0.4">
      <c r="B422" s="1"/>
      <c r="E422" s="1"/>
      <c r="G422" s="1"/>
    </row>
    <row r="423" spans="2:7" ht="13.5" x14ac:dyDescent="0.4">
      <c r="B423" s="1"/>
      <c r="E423" s="1"/>
      <c r="G423" s="1"/>
    </row>
    <row r="424" spans="2:7" ht="13.5" x14ac:dyDescent="0.4">
      <c r="B424" s="1"/>
      <c r="E424" s="1"/>
      <c r="G424" s="1"/>
    </row>
    <row r="425" spans="2:7" ht="13.5" x14ac:dyDescent="0.4">
      <c r="B425" s="1"/>
      <c r="E425" s="1"/>
      <c r="G425" s="1"/>
    </row>
    <row r="426" spans="2:7" ht="13.5" x14ac:dyDescent="0.4">
      <c r="B426" s="1"/>
      <c r="E426" s="1"/>
      <c r="G426" s="1"/>
    </row>
    <row r="427" spans="2:7" ht="13.5" x14ac:dyDescent="0.4">
      <c r="B427" s="1"/>
      <c r="E427" s="1"/>
      <c r="G427" s="1"/>
    </row>
    <row r="428" spans="2:7" ht="13.5" x14ac:dyDescent="0.4">
      <c r="B428" s="1"/>
      <c r="E428" s="1"/>
      <c r="G428" s="1"/>
    </row>
    <row r="429" spans="2:7" ht="13.5" x14ac:dyDescent="0.4">
      <c r="B429" s="1"/>
      <c r="E429" s="1"/>
      <c r="G429" s="1"/>
    </row>
    <row r="430" spans="2:7" ht="13.5" x14ac:dyDescent="0.4">
      <c r="B430" s="1"/>
      <c r="E430" s="1"/>
      <c r="G430" s="1"/>
    </row>
    <row r="431" spans="2:7" ht="13.5" x14ac:dyDescent="0.4">
      <c r="B431" s="1"/>
      <c r="E431" s="1"/>
      <c r="G431" s="1"/>
    </row>
    <row r="432" spans="2:7" ht="13.5" x14ac:dyDescent="0.4">
      <c r="B432" s="1"/>
      <c r="E432" s="1"/>
      <c r="G432" s="1"/>
    </row>
    <row r="433" spans="2:7" ht="13.5" x14ac:dyDescent="0.4">
      <c r="B433" s="1"/>
      <c r="E433" s="1"/>
      <c r="G433" s="1"/>
    </row>
    <row r="434" spans="2:7" ht="13.5" x14ac:dyDescent="0.4">
      <c r="B434" s="1"/>
      <c r="E434" s="1"/>
      <c r="G434" s="1"/>
    </row>
    <row r="435" spans="2:7" ht="13.5" x14ac:dyDescent="0.4">
      <c r="B435" s="1"/>
      <c r="E435" s="1"/>
      <c r="G435" s="1"/>
    </row>
    <row r="436" spans="2:7" ht="13.5" x14ac:dyDescent="0.4">
      <c r="B436" s="1"/>
      <c r="E436" s="1"/>
      <c r="G436" s="1"/>
    </row>
    <row r="437" spans="2:7" ht="13.5" x14ac:dyDescent="0.4">
      <c r="B437" s="1"/>
      <c r="E437" s="1"/>
      <c r="G437" s="1"/>
    </row>
    <row r="438" spans="2:7" ht="13.5" x14ac:dyDescent="0.4">
      <c r="B438" s="1"/>
      <c r="E438" s="1"/>
      <c r="G438" s="1"/>
    </row>
    <row r="439" spans="2:7" ht="13.5" x14ac:dyDescent="0.4">
      <c r="B439" s="1"/>
      <c r="E439" s="1"/>
      <c r="G439" s="1"/>
    </row>
    <row r="440" spans="2:7" ht="13.5" x14ac:dyDescent="0.4">
      <c r="B440" s="1"/>
      <c r="E440" s="1"/>
      <c r="G440" s="1"/>
    </row>
    <row r="441" spans="2:7" ht="13.5" x14ac:dyDescent="0.4">
      <c r="B441" s="1"/>
      <c r="E441" s="1"/>
      <c r="G441" s="1"/>
    </row>
    <row r="442" spans="2:7" ht="13.5" x14ac:dyDescent="0.4">
      <c r="B442" s="1"/>
      <c r="E442" s="1"/>
      <c r="G442" s="1"/>
    </row>
    <row r="443" spans="2:7" ht="13.5" x14ac:dyDescent="0.4">
      <c r="B443" s="1"/>
      <c r="E443" s="1"/>
      <c r="G443" s="1"/>
    </row>
    <row r="444" spans="2:7" ht="13.5" x14ac:dyDescent="0.4">
      <c r="B444" s="1"/>
      <c r="E444" s="1"/>
      <c r="G444" s="1"/>
    </row>
    <row r="445" spans="2:7" ht="13.5" x14ac:dyDescent="0.4">
      <c r="B445" s="1"/>
      <c r="E445" s="1"/>
      <c r="G445" s="1"/>
    </row>
    <row r="446" spans="2:7" ht="13.5" x14ac:dyDescent="0.4">
      <c r="B446" s="1"/>
      <c r="E446" s="1"/>
      <c r="G446" s="1"/>
    </row>
    <row r="447" spans="2:7" ht="13.5" x14ac:dyDescent="0.4">
      <c r="B447" s="1"/>
      <c r="E447" s="1"/>
      <c r="G447" s="1"/>
    </row>
    <row r="448" spans="2:7" ht="13.5" x14ac:dyDescent="0.4">
      <c r="B448" s="1"/>
      <c r="E448" s="1"/>
      <c r="G448" s="1"/>
    </row>
    <row r="449" spans="2:7" ht="13.5" x14ac:dyDescent="0.4">
      <c r="B449" s="1"/>
      <c r="E449" s="1"/>
      <c r="G449" s="1"/>
    </row>
    <row r="450" spans="2:7" ht="13.5" x14ac:dyDescent="0.4">
      <c r="B450" s="1"/>
      <c r="E450" s="1"/>
      <c r="G450" s="1"/>
    </row>
    <row r="451" spans="2:7" ht="13.5" x14ac:dyDescent="0.4">
      <c r="B451" s="1"/>
      <c r="E451" s="1"/>
      <c r="G451" s="1"/>
    </row>
    <row r="452" spans="2:7" ht="13.5" x14ac:dyDescent="0.4">
      <c r="B452" s="1"/>
      <c r="E452" s="1"/>
      <c r="G452" s="1"/>
    </row>
    <row r="453" spans="2:7" ht="13.5" x14ac:dyDescent="0.4">
      <c r="B453" s="1"/>
      <c r="E453" s="1"/>
      <c r="G453" s="1"/>
    </row>
    <row r="454" spans="2:7" ht="13.5" x14ac:dyDescent="0.4">
      <c r="B454" s="1"/>
      <c r="E454" s="1"/>
      <c r="G454" s="1"/>
    </row>
    <row r="455" spans="2:7" ht="13.5" x14ac:dyDescent="0.4">
      <c r="B455" s="1"/>
      <c r="E455" s="1"/>
      <c r="G455" s="1"/>
    </row>
    <row r="456" spans="2:7" ht="13.5" x14ac:dyDescent="0.4">
      <c r="B456" s="1"/>
      <c r="E456" s="1"/>
      <c r="G456" s="1"/>
    </row>
    <row r="457" spans="2:7" ht="13.5" x14ac:dyDescent="0.4">
      <c r="B457" s="1"/>
      <c r="E457" s="1"/>
      <c r="G457" s="1"/>
    </row>
    <row r="458" spans="2:7" ht="13.5" x14ac:dyDescent="0.4">
      <c r="B458" s="1"/>
      <c r="E458" s="1"/>
      <c r="G458" s="1"/>
    </row>
    <row r="459" spans="2:7" ht="13.5" x14ac:dyDescent="0.4">
      <c r="B459" s="1"/>
      <c r="E459" s="1"/>
      <c r="G459" s="1"/>
    </row>
    <row r="460" spans="2:7" ht="13.5" x14ac:dyDescent="0.4">
      <c r="B460" s="1"/>
      <c r="E460" s="1"/>
      <c r="G460" s="1"/>
    </row>
    <row r="461" spans="2:7" ht="13.5" x14ac:dyDescent="0.4">
      <c r="B461" s="1"/>
      <c r="E461" s="1"/>
      <c r="G461" s="1"/>
    </row>
    <row r="462" spans="2:7" ht="13.5" x14ac:dyDescent="0.4">
      <c r="B462" s="1"/>
      <c r="E462" s="1"/>
      <c r="G462" s="1"/>
    </row>
    <row r="463" spans="2:7" ht="13.5" x14ac:dyDescent="0.4">
      <c r="B463" s="1"/>
      <c r="E463" s="1"/>
      <c r="G463" s="1"/>
    </row>
    <row r="464" spans="2:7" ht="13.5" x14ac:dyDescent="0.4">
      <c r="B464" s="1"/>
      <c r="E464" s="1"/>
      <c r="G464" s="1"/>
    </row>
    <row r="465" spans="2:7" ht="13.5" x14ac:dyDescent="0.4">
      <c r="B465" s="1"/>
      <c r="E465" s="1"/>
      <c r="G465" s="1"/>
    </row>
    <row r="466" spans="2:7" ht="13.5" x14ac:dyDescent="0.4">
      <c r="B466" s="1"/>
      <c r="E466" s="1"/>
      <c r="G466" s="1"/>
    </row>
    <row r="467" spans="2:7" ht="13.5" x14ac:dyDescent="0.4">
      <c r="B467" s="1"/>
      <c r="E467" s="1"/>
      <c r="G467" s="1"/>
    </row>
    <row r="468" spans="2:7" ht="13.5" x14ac:dyDescent="0.4">
      <c r="B468" s="1"/>
      <c r="E468" s="1"/>
      <c r="G468" s="1"/>
    </row>
    <row r="469" spans="2:7" ht="13.5" x14ac:dyDescent="0.4">
      <c r="B469" s="1"/>
      <c r="E469" s="1"/>
      <c r="G469" s="1"/>
    </row>
    <row r="470" spans="2:7" ht="13.5" x14ac:dyDescent="0.4">
      <c r="B470" s="1"/>
      <c r="E470" s="1"/>
      <c r="G470" s="1"/>
    </row>
    <row r="471" spans="2:7" ht="13.5" x14ac:dyDescent="0.4">
      <c r="B471" s="1"/>
      <c r="E471" s="1"/>
      <c r="G471" s="1"/>
    </row>
    <row r="472" spans="2:7" ht="13.5" x14ac:dyDescent="0.4">
      <c r="B472" s="1"/>
      <c r="E472" s="1"/>
      <c r="G472" s="1"/>
    </row>
    <row r="473" spans="2:7" ht="13.5" x14ac:dyDescent="0.4">
      <c r="B473" s="1"/>
      <c r="E473" s="1"/>
      <c r="G473" s="1"/>
    </row>
    <row r="474" spans="2:7" ht="13.5" x14ac:dyDescent="0.4">
      <c r="B474" s="1"/>
      <c r="E474" s="1"/>
      <c r="G474" s="1"/>
    </row>
    <row r="475" spans="2:7" ht="13.5" x14ac:dyDescent="0.4">
      <c r="B475" s="1"/>
      <c r="E475" s="1"/>
      <c r="G475" s="1"/>
    </row>
    <row r="476" spans="2:7" ht="13.5" x14ac:dyDescent="0.4">
      <c r="B476" s="1"/>
      <c r="E476" s="1"/>
      <c r="G476" s="1"/>
    </row>
    <row r="477" spans="2:7" ht="13.5" x14ac:dyDescent="0.4">
      <c r="B477" s="1"/>
      <c r="E477" s="1"/>
      <c r="G477" s="1"/>
    </row>
    <row r="478" spans="2:7" ht="13.5" x14ac:dyDescent="0.4">
      <c r="B478" s="1"/>
      <c r="E478" s="1"/>
      <c r="G478" s="1"/>
    </row>
    <row r="479" spans="2:7" ht="13.5" x14ac:dyDescent="0.4">
      <c r="B479" s="1"/>
      <c r="E479" s="1"/>
      <c r="G479" s="1"/>
    </row>
    <row r="480" spans="2:7" ht="13.5" x14ac:dyDescent="0.4">
      <c r="B480" s="1"/>
      <c r="E480" s="1"/>
      <c r="G480" s="1"/>
    </row>
    <row r="481" spans="2:7" ht="13.5" x14ac:dyDescent="0.4">
      <c r="B481" s="1"/>
      <c r="E481" s="1"/>
      <c r="G481" s="1"/>
    </row>
    <row r="482" spans="2:7" ht="13.5" x14ac:dyDescent="0.4">
      <c r="B482" s="1"/>
      <c r="E482" s="1"/>
      <c r="G482" s="1"/>
    </row>
    <row r="483" spans="2:7" ht="13.5" x14ac:dyDescent="0.4">
      <c r="B483" s="1"/>
      <c r="E483" s="1"/>
      <c r="G483" s="1"/>
    </row>
    <row r="484" spans="2:7" ht="13.5" x14ac:dyDescent="0.4">
      <c r="B484" s="1"/>
      <c r="E484" s="1"/>
      <c r="G484" s="1"/>
    </row>
    <row r="485" spans="2:7" ht="13.5" x14ac:dyDescent="0.4">
      <c r="B485" s="1"/>
      <c r="E485" s="1"/>
      <c r="G485" s="1"/>
    </row>
    <row r="486" spans="2:7" ht="13.5" x14ac:dyDescent="0.4">
      <c r="B486" s="1"/>
      <c r="E486" s="1"/>
      <c r="G486" s="1"/>
    </row>
    <row r="487" spans="2:7" ht="13.5" x14ac:dyDescent="0.4">
      <c r="B487" s="1"/>
      <c r="E487" s="1"/>
      <c r="G487" s="1"/>
    </row>
    <row r="488" spans="2:7" ht="13.5" x14ac:dyDescent="0.4">
      <c r="B488" s="1"/>
      <c r="E488" s="1"/>
      <c r="G488" s="1"/>
    </row>
    <row r="489" spans="2:7" ht="13.5" x14ac:dyDescent="0.4">
      <c r="B489" s="1"/>
      <c r="E489" s="1"/>
      <c r="G489" s="1"/>
    </row>
    <row r="490" spans="2:7" ht="13.5" x14ac:dyDescent="0.4">
      <c r="B490" s="1"/>
      <c r="E490" s="1"/>
      <c r="G490" s="1"/>
    </row>
    <row r="491" spans="2:7" ht="13.5" x14ac:dyDescent="0.4">
      <c r="B491" s="1"/>
      <c r="E491" s="1"/>
      <c r="G491" s="1"/>
    </row>
    <row r="492" spans="2:7" ht="13.5" x14ac:dyDescent="0.4">
      <c r="B492" s="1"/>
      <c r="E492" s="1"/>
      <c r="G492" s="1"/>
    </row>
    <row r="493" spans="2:7" ht="13.5" x14ac:dyDescent="0.4">
      <c r="B493" s="1"/>
      <c r="E493" s="1"/>
      <c r="G493" s="1"/>
    </row>
    <row r="494" spans="2:7" ht="13.5" x14ac:dyDescent="0.4">
      <c r="B494" s="1"/>
      <c r="E494" s="1"/>
      <c r="G494" s="1"/>
    </row>
    <row r="495" spans="2:7" ht="13.5" x14ac:dyDescent="0.4">
      <c r="B495" s="1"/>
      <c r="E495" s="1"/>
      <c r="G495" s="1"/>
    </row>
    <row r="496" spans="2:7" ht="13.5" x14ac:dyDescent="0.4">
      <c r="B496" s="1"/>
      <c r="E496" s="1"/>
      <c r="G496" s="1"/>
    </row>
    <row r="497" spans="2:7" ht="13.5" x14ac:dyDescent="0.4">
      <c r="B497" s="1"/>
      <c r="E497" s="1"/>
      <c r="G497" s="1"/>
    </row>
    <row r="498" spans="2:7" ht="13.5" x14ac:dyDescent="0.4">
      <c r="B498" s="1"/>
      <c r="E498" s="1"/>
      <c r="G498" s="1"/>
    </row>
    <row r="499" spans="2:7" ht="13.5" x14ac:dyDescent="0.4">
      <c r="B499" s="1"/>
      <c r="E499" s="1"/>
      <c r="G499" s="1"/>
    </row>
    <row r="500" spans="2:7" ht="13.5" x14ac:dyDescent="0.4">
      <c r="B500" s="1"/>
      <c r="E500" s="1"/>
      <c r="G500" s="1"/>
    </row>
    <row r="501" spans="2:7" ht="13.5" x14ac:dyDescent="0.4">
      <c r="B501" s="1"/>
      <c r="E501" s="1"/>
      <c r="G501" s="1"/>
    </row>
    <row r="502" spans="2:7" ht="13.5" x14ac:dyDescent="0.4">
      <c r="B502" s="1"/>
      <c r="E502" s="1"/>
      <c r="G502" s="1"/>
    </row>
    <row r="503" spans="2:7" ht="13.5" x14ac:dyDescent="0.4">
      <c r="B503" s="1"/>
      <c r="E503" s="1"/>
      <c r="G503" s="1"/>
    </row>
    <row r="504" spans="2:7" ht="13.5" x14ac:dyDescent="0.4">
      <c r="B504" s="1"/>
      <c r="E504" s="1"/>
      <c r="G504" s="1"/>
    </row>
    <row r="505" spans="2:7" ht="13.5" x14ac:dyDescent="0.4">
      <c r="B505" s="1"/>
      <c r="E505" s="1"/>
      <c r="G505" s="1"/>
    </row>
    <row r="506" spans="2:7" ht="13.5" x14ac:dyDescent="0.4">
      <c r="B506" s="1"/>
      <c r="E506" s="1"/>
      <c r="G506" s="1"/>
    </row>
    <row r="507" spans="2:7" ht="13.5" x14ac:dyDescent="0.4">
      <c r="B507" s="1"/>
      <c r="E507" s="1"/>
      <c r="G507" s="1"/>
    </row>
    <row r="508" spans="2:7" ht="13.5" x14ac:dyDescent="0.4">
      <c r="B508" s="1"/>
      <c r="E508" s="1"/>
      <c r="G508" s="1"/>
    </row>
    <row r="509" spans="2:7" ht="13.5" x14ac:dyDescent="0.4">
      <c r="B509" s="1"/>
      <c r="E509" s="1"/>
      <c r="G509" s="1"/>
    </row>
    <row r="510" spans="2:7" ht="13.5" x14ac:dyDescent="0.4">
      <c r="B510" s="1"/>
      <c r="E510" s="1"/>
      <c r="G510" s="1"/>
    </row>
    <row r="511" spans="2:7" ht="13.5" x14ac:dyDescent="0.4">
      <c r="B511" s="1"/>
      <c r="E511" s="1"/>
      <c r="G511" s="1"/>
    </row>
    <row r="512" spans="2:7" ht="13.5" x14ac:dyDescent="0.4">
      <c r="B512" s="1"/>
      <c r="E512" s="1"/>
      <c r="G512" s="1"/>
    </row>
    <row r="513" spans="2:7" ht="13.5" x14ac:dyDescent="0.4">
      <c r="B513" s="1"/>
      <c r="E513" s="1"/>
      <c r="G513" s="1"/>
    </row>
    <row r="514" spans="2:7" ht="13.5" x14ac:dyDescent="0.4">
      <c r="B514" s="1"/>
      <c r="E514" s="1"/>
      <c r="G514" s="1"/>
    </row>
    <row r="515" spans="2:7" ht="13.5" x14ac:dyDescent="0.4">
      <c r="B515" s="1"/>
      <c r="E515" s="1"/>
      <c r="G515" s="1"/>
    </row>
    <row r="516" spans="2:7" ht="13.5" x14ac:dyDescent="0.4">
      <c r="B516" s="1"/>
      <c r="E516" s="1"/>
      <c r="G516" s="1"/>
    </row>
    <row r="517" spans="2:7" ht="13.5" x14ac:dyDescent="0.4">
      <c r="B517" s="1"/>
      <c r="E517" s="1"/>
      <c r="G517" s="1"/>
    </row>
    <row r="518" spans="2:7" ht="13.5" x14ac:dyDescent="0.4">
      <c r="B518" s="1"/>
      <c r="E518" s="1"/>
      <c r="G518" s="1"/>
    </row>
    <row r="519" spans="2:7" ht="13.5" x14ac:dyDescent="0.4">
      <c r="B519" s="1"/>
      <c r="E519" s="1"/>
      <c r="G519" s="1"/>
    </row>
    <row r="520" spans="2:7" ht="13.5" x14ac:dyDescent="0.4">
      <c r="B520" s="1"/>
      <c r="E520" s="1"/>
      <c r="G520" s="1"/>
    </row>
    <row r="521" spans="2:7" ht="13.5" x14ac:dyDescent="0.4">
      <c r="B521" s="1"/>
      <c r="E521" s="1"/>
      <c r="G521" s="1"/>
    </row>
    <row r="522" spans="2:7" ht="13.5" x14ac:dyDescent="0.4">
      <c r="B522" s="1"/>
      <c r="E522" s="1"/>
      <c r="G522" s="1"/>
    </row>
    <row r="523" spans="2:7" ht="13.5" x14ac:dyDescent="0.4">
      <c r="B523" s="1"/>
      <c r="E523" s="1"/>
      <c r="G523" s="1"/>
    </row>
    <row r="524" spans="2:7" ht="13.5" x14ac:dyDescent="0.4">
      <c r="B524" s="1"/>
      <c r="E524" s="1"/>
      <c r="G524" s="1"/>
    </row>
    <row r="525" spans="2:7" ht="13.5" x14ac:dyDescent="0.4">
      <c r="B525" s="1"/>
      <c r="E525" s="1"/>
      <c r="G525" s="1"/>
    </row>
    <row r="526" spans="2:7" ht="13.5" x14ac:dyDescent="0.4">
      <c r="B526" s="1"/>
      <c r="E526" s="1"/>
      <c r="G526" s="1"/>
    </row>
    <row r="527" spans="2:7" ht="13.5" x14ac:dyDescent="0.4">
      <c r="B527" s="1"/>
      <c r="E527" s="1"/>
      <c r="G527" s="1"/>
    </row>
    <row r="528" spans="2:7" ht="13.5" x14ac:dyDescent="0.4">
      <c r="B528" s="1"/>
      <c r="E528" s="1"/>
      <c r="G528" s="1"/>
    </row>
    <row r="529" spans="2:7" ht="13.5" x14ac:dyDescent="0.4">
      <c r="B529" s="1"/>
      <c r="E529" s="1"/>
      <c r="G529" s="1"/>
    </row>
    <row r="530" spans="2:7" ht="13.5" x14ac:dyDescent="0.4">
      <c r="B530" s="1"/>
      <c r="E530" s="1"/>
      <c r="G530" s="1"/>
    </row>
    <row r="531" spans="2:7" ht="13.5" x14ac:dyDescent="0.4">
      <c r="B531" s="1"/>
      <c r="E531" s="1"/>
      <c r="G531" s="1"/>
    </row>
    <row r="532" spans="2:7" ht="13.5" x14ac:dyDescent="0.4">
      <c r="B532" s="1"/>
      <c r="E532" s="1"/>
      <c r="G532" s="1"/>
    </row>
    <row r="533" spans="2:7" ht="13.5" x14ac:dyDescent="0.4">
      <c r="B533" s="1"/>
      <c r="E533" s="1"/>
      <c r="G533" s="1"/>
    </row>
    <row r="534" spans="2:7" ht="13.5" x14ac:dyDescent="0.4">
      <c r="B534" s="1"/>
      <c r="E534" s="1"/>
      <c r="G534" s="1"/>
    </row>
    <row r="535" spans="2:7" ht="13.5" x14ac:dyDescent="0.4">
      <c r="B535" s="1"/>
      <c r="E535" s="1"/>
      <c r="G535" s="1"/>
    </row>
    <row r="536" spans="2:7" ht="13.5" x14ac:dyDescent="0.4">
      <c r="B536" s="1"/>
      <c r="E536" s="1"/>
      <c r="G536" s="1"/>
    </row>
    <row r="537" spans="2:7" ht="13.5" x14ac:dyDescent="0.4">
      <c r="B537" s="1"/>
      <c r="E537" s="1"/>
      <c r="G537" s="1"/>
    </row>
    <row r="538" spans="2:7" ht="13.5" x14ac:dyDescent="0.4">
      <c r="B538" s="1"/>
      <c r="E538" s="1"/>
      <c r="G538" s="1"/>
    </row>
    <row r="539" spans="2:7" ht="13.5" x14ac:dyDescent="0.4">
      <c r="B539" s="1"/>
      <c r="E539" s="1"/>
      <c r="G539" s="1"/>
    </row>
    <row r="540" spans="2:7" ht="13.5" x14ac:dyDescent="0.4">
      <c r="B540" s="1"/>
      <c r="E540" s="1"/>
      <c r="G540" s="1"/>
    </row>
    <row r="541" spans="2:7" ht="13.5" x14ac:dyDescent="0.4">
      <c r="B541" s="1"/>
      <c r="E541" s="1"/>
      <c r="G541" s="1"/>
    </row>
    <row r="542" spans="2:7" ht="13.5" x14ac:dyDescent="0.4">
      <c r="B542" s="1"/>
      <c r="E542" s="1"/>
      <c r="G542" s="1"/>
    </row>
    <row r="543" spans="2:7" ht="13.5" x14ac:dyDescent="0.4">
      <c r="B543" s="1"/>
      <c r="E543" s="1"/>
      <c r="G543" s="1"/>
    </row>
    <row r="544" spans="2:7" ht="13.5" x14ac:dyDescent="0.4">
      <c r="B544" s="1"/>
      <c r="E544" s="1"/>
      <c r="G544" s="1"/>
    </row>
    <row r="545" spans="2:7" ht="13.5" x14ac:dyDescent="0.4">
      <c r="B545" s="1"/>
      <c r="E545" s="1"/>
      <c r="G545" s="1"/>
    </row>
    <row r="546" spans="2:7" ht="13.5" x14ac:dyDescent="0.4">
      <c r="B546" s="1"/>
      <c r="E546" s="1"/>
      <c r="G546" s="1"/>
    </row>
    <row r="547" spans="2:7" ht="13.5" x14ac:dyDescent="0.4">
      <c r="B547" s="1"/>
      <c r="E547" s="1"/>
      <c r="G547" s="1"/>
    </row>
    <row r="548" spans="2:7" ht="13.5" x14ac:dyDescent="0.4">
      <c r="B548" s="1"/>
      <c r="E548" s="1"/>
      <c r="G548" s="1"/>
    </row>
    <row r="549" spans="2:7" ht="13.5" x14ac:dyDescent="0.4">
      <c r="B549" s="1"/>
      <c r="E549" s="1"/>
      <c r="G549" s="1"/>
    </row>
    <row r="550" spans="2:7" ht="13.5" x14ac:dyDescent="0.4">
      <c r="B550" s="1"/>
      <c r="E550" s="1"/>
      <c r="G550" s="1"/>
    </row>
    <row r="551" spans="2:7" ht="13.5" x14ac:dyDescent="0.4">
      <c r="B551" s="1"/>
      <c r="E551" s="1"/>
      <c r="G551" s="1"/>
    </row>
    <row r="552" spans="2:7" ht="13.5" x14ac:dyDescent="0.4">
      <c r="B552" s="1"/>
      <c r="E552" s="1"/>
      <c r="G552" s="1"/>
    </row>
    <row r="553" spans="2:7" ht="13.5" x14ac:dyDescent="0.4">
      <c r="B553" s="1"/>
      <c r="E553" s="1"/>
      <c r="G553" s="1"/>
    </row>
    <row r="554" spans="2:7" ht="13.5" x14ac:dyDescent="0.4">
      <c r="B554" s="1"/>
      <c r="E554" s="1"/>
      <c r="G554" s="1"/>
    </row>
    <row r="555" spans="2:7" ht="13.5" x14ac:dyDescent="0.4">
      <c r="B555" s="1"/>
      <c r="E555" s="1"/>
      <c r="G555" s="1"/>
    </row>
    <row r="556" spans="2:7" ht="13.5" x14ac:dyDescent="0.4">
      <c r="B556" s="1"/>
      <c r="E556" s="1"/>
      <c r="G556" s="1"/>
    </row>
    <row r="557" spans="2:7" ht="13.5" x14ac:dyDescent="0.4">
      <c r="B557" s="1"/>
      <c r="E557" s="1"/>
      <c r="G557" s="1"/>
    </row>
    <row r="558" spans="2:7" ht="13.5" x14ac:dyDescent="0.4">
      <c r="B558" s="1"/>
      <c r="E558" s="1"/>
      <c r="G558" s="1"/>
    </row>
    <row r="559" spans="2:7" ht="13.5" x14ac:dyDescent="0.4">
      <c r="B559" s="1"/>
      <c r="E559" s="1"/>
      <c r="G559" s="1"/>
    </row>
    <row r="560" spans="2:7" ht="13.5" x14ac:dyDescent="0.4">
      <c r="B560" s="1"/>
      <c r="E560" s="1"/>
      <c r="G560" s="1"/>
    </row>
    <row r="561" spans="2:7" ht="13.5" x14ac:dyDescent="0.4">
      <c r="B561" s="1"/>
      <c r="E561" s="1"/>
      <c r="G561" s="1"/>
    </row>
    <row r="562" spans="2:7" ht="13.5" x14ac:dyDescent="0.4">
      <c r="B562" s="1"/>
      <c r="E562" s="1"/>
      <c r="G562" s="1"/>
    </row>
    <row r="563" spans="2:7" ht="13.5" x14ac:dyDescent="0.4">
      <c r="B563" s="1"/>
      <c r="E563" s="1"/>
      <c r="G563" s="1"/>
    </row>
    <row r="564" spans="2:7" ht="13.5" x14ac:dyDescent="0.4">
      <c r="B564" s="1"/>
      <c r="E564" s="1"/>
      <c r="G564" s="1"/>
    </row>
    <row r="565" spans="2:7" ht="13.5" x14ac:dyDescent="0.4">
      <c r="B565" s="1"/>
      <c r="E565" s="1"/>
      <c r="G565" s="1"/>
    </row>
    <row r="566" spans="2:7" ht="13.5" x14ac:dyDescent="0.4">
      <c r="B566" s="1"/>
      <c r="E566" s="1"/>
      <c r="G566" s="1"/>
    </row>
    <row r="567" spans="2:7" ht="13.5" x14ac:dyDescent="0.4">
      <c r="B567" s="1"/>
      <c r="E567" s="1"/>
      <c r="G567" s="1"/>
    </row>
    <row r="568" spans="2:7" ht="13.5" x14ac:dyDescent="0.4">
      <c r="B568" s="1"/>
      <c r="E568" s="1"/>
      <c r="G568" s="1"/>
    </row>
    <row r="569" spans="2:7" ht="13.5" x14ac:dyDescent="0.4">
      <c r="B569" s="1"/>
      <c r="E569" s="1"/>
      <c r="G569" s="1"/>
    </row>
    <row r="570" spans="2:7" ht="13.5" x14ac:dyDescent="0.4">
      <c r="B570" s="1"/>
      <c r="E570" s="1"/>
      <c r="G570" s="1"/>
    </row>
    <row r="571" spans="2:7" ht="13.5" x14ac:dyDescent="0.4">
      <c r="B571" s="1"/>
      <c r="E571" s="1"/>
      <c r="G571" s="1"/>
    </row>
    <row r="572" spans="2:7" ht="13.5" x14ac:dyDescent="0.4">
      <c r="B572" s="1"/>
      <c r="E572" s="1"/>
      <c r="G572" s="1"/>
    </row>
    <row r="573" spans="2:7" ht="13.5" x14ac:dyDescent="0.4">
      <c r="B573" s="1"/>
      <c r="E573" s="1"/>
      <c r="G573" s="1"/>
    </row>
    <row r="574" spans="2:7" ht="13.5" x14ac:dyDescent="0.4">
      <c r="B574" s="1"/>
      <c r="E574" s="1"/>
      <c r="G574" s="1"/>
    </row>
    <row r="575" spans="2:7" ht="13.5" x14ac:dyDescent="0.4">
      <c r="B575" s="1"/>
      <c r="E575" s="1"/>
      <c r="G575" s="1"/>
    </row>
    <row r="576" spans="2:7" ht="13.5" x14ac:dyDescent="0.4">
      <c r="B576" s="1"/>
      <c r="E576" s="1"/>
      <c r="G576" s="1"/>
    </row>
    <row r="577" spans="2:7" ht="13.5" x14ac:dyDescent="0.4">
      <c r="B577" s="1"/>
      <c r="E577" s="1"/>
      <c r="G577" s="1"/>
    </row>
    <row r="578" spans="2:7" ht="13.5" x14ac:dyDescent="0.4">
      <c r="B578" s="1"/>
      <c r="E578" s="1"/>
      <c r="G578" s="1"/>
    </row>
    <row r="579" spans="2:7" ht="13.5" x14ac:dyDescent="0.4">
      <c r="B579" s="1"/>
      <c r="E579" s="1"/>
      <c r="G579" s="1"/>
    </row>
    <row r="580" spans="2:7" ht="13.5" x14ac:dyDescent="0.4">
      <c r="B580" s="1"/>
      <c r="E580" s="1"/>
      <c r="G580" s="1"/>
    </row>
    <row r="581" spans="2:7" ht="13.5" x14ac:dyDescent="0.4">
      <c r="B581" s="1"/>
      <c r="E581" s="1"/>
      <c r="G581" s="1"/>
    </row>
    <row r="582" spans="2:7" ht="13.5" x14ac:dyDescent="0.4">
      <c r="B582" s="1"/>
      <c r="E582" s="1"/>
      <c r="G582" s="1"/>
    </row>
    <row r="583" spans="2:7" ht="13.5" x14ac:dyDescent="0.4">
      <c r="B583" s="1"/>
      <c r="E583" s="1"/>
      <c r="G583" s="1"/>
    </row>
    <row r="584" spans="2:7" ht="13.5" x14ac:dyDescent="0.4">
      <c r="B584" s="1"/>
      <c r="E584" s="1"/>
      <c r="G584" s="1"/>
    </row>
    <row r="585" spans="2:7" ht="13.5" x14ac:dyDescent="0.4">
      <c r="B585" s="1"/>
      <c r="E585" s="1"/>
      <c r="G585" s="1"/>
    </row>
    <row r="586" spans="2:7" ht="13.5" x14ac:dyDescent="0.4">
      <c r="B586" s="1"/>
      <c r="E586" s="1"/>
      <c r="G586" s="1"/>
    </row>
    <row r="587" spans="2:7" ht="13.5" x14ac:dyDescent="0.4">
      <c r="B587" s="1"/>
      <c r="E587" s="1"/>
      <c r="G587" s="1"/>
    </row>
    <row r="588" spans="2:7" ht="13.5" x14ac:dyDescent="0.4">
      <c r="B588" s="1"/>
      <c r="E588" s="1"/>
      <c r="G588" s="1"/>
    </row>
    <row r="589" spans="2:7" ht="13.5" x14ac:dyDescent="0.4">
      <c r="B589" s="1"/>
      <c r="E589" s="1"/>
      <c r="G589" s="1"/>
    </row>
    <row r="590" spans="2:7" ht="13.5" x14ac:dyDescent="0.4">
      <c r="B590" s="1"/>
      <c r="E590" s="1"/>
      <c r="G590" s="1"/>
    </row>
    <row r="591" spans="2:7" ht="13.5" x14ac:dyDescent="0.4">
      <c r="B591" s="1"/>
      <c r="E591" s="1"/>
      <c r="G591" s="1"/>
    </row>
    <row r="592" spans="2:7" ht="13.5" x14ac:dyDescent="0.4">
      <c r="B592" s="1"/>
      <c r="E592" s="1"/>
      <c r="G592" s="1"/>
    </row>
    <row r="593" spans="2:7" ht="13.5" x14ac:dyDescent="0.4">
      <c r="B593" s="1"/>
      <c r="E593" s="1"/>
      <c r="G593" s="1"/>
    </row>
    <row r="594" spans="2:7" ht="13.5" x14ac:dyDescent="0.4">
      <c r="B594" s="1"/>
      <c r="E594" s="1"/>
      <c r="G594" s="1"/>
    </row>
    <row r="595" spans="2:7" ht="13.5" x14ac:dyDescent="0.4">
      <c r="B595" s="1"/>
      <c r="E595" s="1"/>
      <c r="G595" s="1"/>
    </row>
    <row r="596" spans="2:7" ht="13.5" x14ac:dyDescent="0.4">
      <c r="B596" s="1"/>
      <c r="E596" s="1"/>
      <c r="G596" s="1"/>
    </row>
    <row r="597" spans="2:7" ht="13.5" x14ac:dyDescent="0.4">
      <c r="B597" s="1"/>
      <c r="E597" s="1"/>
      <c r="G597" s="1"/>
    </row>
    <row r="598" spans="2:7" ht="13.5" x14ac:dyDescent="0.4">
      <c r="B598" s="1"/>
      <c r="E598" s="1"/>
      <c r="G598" s="1"/>
    </row>
    <row r="599" spans="2:7" ht="13.5" x14ac:dyDescent="0.4">
      <c r="B599" s="1"/>
      <c r="E599" s="1"/>
      <c r="G599" s="1"/>
    </row>
    <row r="600" spans="2:7" ht="13.5" x14ac:dyDescent="0.4">
      <c r="B600" s="1"/>
      <c r="E600" s="1"/>
      <c r="G600" s="1"/>
    </row>
    <row r="601" spans="2:7" ht="13.5" x14ac:dyDescent="0.4">
      <c r="B601" s="1"/>
      <c r="E601" s="1"/>
      <c r="G601" s="1"/>
    </row>
    <row r="602" spans="2:7" ht="13.5" x14ac:dyDescent="0.4">
      <c r="B602" s="1"/>
      <c r="E602" s="1"/>
      <c r="G602" s="1"/>
    </row>
    <row r="603" spans="2:7" ht="13.5" x14ac:dyDescent="0.4">
      <c r="B603" s="1"/>
      <c r="E603" s="1"/>
      <c r="G603" s="1"/>
    </row>
    <row r="604" spans="2:7" ht="13.5" x14ac:dyDescent="0.4">
      <c r="B604" s="1"/>
      <c r="E604" s="1"/>
      <c r="G604" s="1"/>
    </row>
    <row r="605" spans="2:7" ht="13.5" x14ac:dyDescent="0.4">
      <c r="B605" s="1"/>
      <c r="E605" s="1"/>
      <c r="G605" s="1"/>
    </row>
    <row r="606" spans="2:7" ht="13.5" x14ac:dyDescent="0.4">
      <c r="B606" s="1"/>
      <c r="E606" s="1"/>
      <c r="G606" s="1"/>
    </row>
    <row r="607" spans="2:7" ht="13.5" x14ac:dyDescent="0.4">
      <c r="B607" s="1"/>
      <c r="E607" s="1"/>
      <c r="G607" s="1"/>
    </row>
    <row r="608" spans="2:7" ht="13.5" x14ac:dyDescent="0.4">
      <c r="B608" s="1"/>
      <c r="E608" s="1"/>
      <c r="G608" s="1"/>
    </row>
    <row r="609" spans="2:7" ht="13.5" x14ac:dyDescent="0.4">
      <c r="B609" s="1"/>
      <c r="E609" s="1"/>
      <c r="G609" s="1"/>
    </row>
    <row r="610" spans="2:7" ht="13.5" x14ac:dyDescent="0.4">
      <c r="B610" s="1"/>
      <c r="E610" s="1"/>
      <c r="G610" s="1"/>
    </row>
    <row r="611" spans="2:7" ht="13.5" x14ac:dyDescent="0.4">
      <c r="B611" s="1"/>
      <c r="E611" s="1"/>
      <c r="G611" s="1"/>
    </row>
    <row r="612" spans="2:7" ht="13.5" x14ac:dyDescent="0.4">
      <c r="B612" s="1"/>
      <c r="E612" s="1"/>
      <c r="G612" s="1"/>
    </row>
    <row r="613" spans="2:7" ht="13.5" x14ac:dyDescent="0.4">
      <c r="B613" s="1"/>
      <c r="E613" s="1"/>
      <c r="G613" s="1"/>
    </row>
    <row r="614" spans="2:7" ht="13.5" x14ac:dyDescent="0.4">
      <c r="B614" s="1"/>
      <c r="E614" s="1"/>
      <c r="G614" s="1"/>
    </row>
    <row r="615" spans="2:7" ht="13.5" x14ac:dyDescent="0.4">
      <c r="B615" s="1"/>
      <c r="E615" s="1"/>
      <c r="G615" s="1"/>
    </row>
  </sheetData>
  <conditionalFormatting sqref="C1:D21">
    <cfRule type="cellIs" dxfId="3" priority="8" operator="equal">
      <formula>"Critical"</formula>
    </cfRule>
    <cfRule type="cellIs" dxfId="2" priority="9" operator="equal">
      <formula>"Low"</formula>
    </cfRule>
    <cfRule type="cellIs" dxfId="1" priority="10" operator="equal">
      <formula>"Moderate"</formula>
    </cfRule>
    <cfRule type="cellIs" dxfId="0" priority="11" operator="equal">
      <formula>"High"</formula>
    </cfRule>
  </conditionalFormatting>
  <dataValidations count="1">
    <dataValidation type="list" allowBlank="1" showInputMessage="1" showErrorMessage="1" sqref="D1:D1048576" xr:uid="{E27C6729-28D4-4624-BD23-7C4E39970417}">
      <formula1>"Confidentiality, Integrity, Availability, Confidentiality/Integrity, Confidentiality/Availability, Confidentiality/Integrity/Availability, Integrity/Availability"</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8DF48C168E6284DA950AA4555196555" ma:contentTypeVersion="21" ma:contentTypeDescription="Create a new document." ma:contentTypeScope="" ma:versionID="c4ab4d3c8609fb99962d7e63b39eb519">
  <xsd:schema xmlns:xsd="http://www.w3.org/2001/XMLSchema" xmlns:xs="http://www.w3.org/2001/XMLSchema" xmlns:p="http://schemas.microsoft.com/office/2006/metadata/properties" xmlns:ns2="c72cb9bd-dab8-4abc-b87f-e9e87a86c447" xmlns:ns3="92822306-f70f-4ce3-b104-0670d92b0ba6" targetNamespace="http://schemas.microsoft.com/office/2006/metadata/properties" ma:root="true" ma:fieldsID="760be44f9589430eae74519484dbae74" ns2:_="" ns3:_="">
    <xsd:import namespace="c72cb9bd-dab8-4abc-b87f-e9e87a86c447"/>
    <xsd:import namespace="92822306-f70f-4ce3-b104-0670d92b0ba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LengthInSeconds" minOccurs="0"/>
                <xsd:element ref="ns2:lcf76f155ced4ddcb4097134ff3c332f" minOccurs="0"/>
                <xsd:element ref="ns3:TaxCatchAll" minOccurs="0"/>
                <xsd:element ref="ns2:MediaServiceLocation" minOccurs="0"/>
                <xsd:element ref="ns2:MediaServiceObjectDetectorVersions" minOccurs="0"/>
                <xsd:element ref="ns2:comment" minOccurs="0"/>
                <xsd:element ref="ns2:MediaServiceSearchProperties" minOccurs="0"/>
                <xsd:element ref="ns2: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2cb9bd-dab8-4abc-b87f-e9e87a86c4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fba4fac0-d487-47d5-b016-e7dff8a36d7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ternalName="MediaServiceLocation" ma:readOnly="true">
      <xsd:simpleType>
        <xsd:restriction base="dms:Text"/>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comment" ma:index="25" nillable="true" ma:displayName="comment" ma:description="&lt;---should we move this file under Contents?" ma:format="Dropdown" ma:internalName="comment">
      <xsd:simpleType>
        <xsd:restriction base="dms:Text">
          <xsd:maxLength value="255"/>
        </xsd:restriction>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Status" ma:index="27" nillable="true" ma:displayName="Status" ma:format="Dropdown" ma:internalName="Status">
      <xsd:simpleType>
        <xsd:restriction base="dms:Choice">
          <xsd:enumeration value="In progress"/>
          <xsd:enumeration value="Done"/>
        </xsd:restriction>
      </xsd:simpleType>
    </xsd:element>
  </xsd:schema>
  <xsd:schema xmlns:xsd="http://www.w3.org/2001/XMLSchema" xmlns:xs="http://www.w3.org/2001/XMLSchema" xmlns:dms="http://schemas.microsoft.com/office/2006/documentManagement/types" xmlns:pc="http://schemas.microsoft.com/office/infopath/2007/PartnerControls" targetNamespace="92822306-f70f-4ce3-b104-0670d92b0ba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f716f2ec-2168-493d-91f1-185d31335e08}" ma:internalName="TaxCatchAll" ma:showField="CatchAllData" ma:web="92822306-f70f-4ce3-b104-0670d92b0b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comment xmlns="c72cb9bd-dab8-4abc-b87f-e9e87a86c447" xsi:nil="true"/>
    <TaxCatchAll xmlns="92822306-f70f-4ce3-b104-0670d92b0ba6" xsi:nil="true"/>
    <lcf76f155ced4ddcb4097134ff3c332f xmlns="c72cb9bd-dab8-4abc-b87f-e9e87a86c447">
      <Terms xmlns="http://schemas.microsoft.com/office/infopath/2007/PartnerControls"/>
    </lcf76f155ced4ddcb4097134ff3c332f>
    <Status xmlns="c72cb9bd-dab8-4abc-b87f-e9e87a86c44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BA1724AF-CAF1-4B97-8B87-3CF92F845B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2cb9bd-dab8-4abc-b87f-e9e87a86c447"/>
    <ds:schemaRef ds:uri="92822306-f70f-4ce3-b104-0670d92b0b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EA6098-4826-4B0E-8ADB-2E2CE57F28D9}">
  <ds:schemaRefs>
    <ds:schemaRef ds:uri="http://schemas.microsoft.com/office/2006/metadata/properties"/>
    <ds:schemaRef ds:uri="http://schemas.microsoft.com/office/infopath/2007/PartnerControls"/>
    <ds:schemaRef ds:uri="c72cb9bd-dab8-4abc-b87f-e9e87a86c447"/>
    <ds:schemaRef ds:uri="92822306-f70f-4ce3-b104-0670d92b0ba6"/>
  </ds:schemaRefs>
</ds:datastoreItem>
</file>

<file path=customXml/itemProps3.xml><?xml version="1.0" encoding="utf-8"?>
<ds:datastoreItem xmlns:ds="http://schemas.openxmlformats.org/officeDocument/2006/customXml" ds:itemID="{D1D71271-5ADF-432B-B092-EB2C865FB856}">
  <ds:schemaRefs>
    <ds:schemaRef ds:uri="http://schemas.microsoft.com/sharepoint/v3/contenttype/forms"/>
  </ds:schemaRefs>
</ds:datastoreItem>
</file>

<file path=customXml/itemProps4.xml><?xml version="1.0" encoding="utf-8"?>
<ds:datastoreItem xmlns:ds="http://schemas.openxmlformats.org/officeDocument/2006/customXml" ds:itemID="{8831763D-F47D-4C06-BF64-5E4D0E5B67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ReadMe</vt:lpstr>
      <vt:lpstr>Dashboard</vt:lpstr>
      <vt:lpstr>Hosts</vt:lpstr>
      <vt:lpstr>Vulnerabilities</vt:lpstr>
      <vt:lpstr>Vulnerabilities!_Hlk522014639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Andrew Williams</dc:creator>
  <cp:keywords/>
  <dc:description/>
  <cp:lastModifiedBy>Grayson GYASI</cp:lastModifiedBy>
  <cp:revision/>
  <dcterms:created xsi:type="dcterms:W3CDTF">2014-09-24T15:11:58Z</dcterms:created>
  <dcterms:modified xsi:type="dcterms:W3CDTF">2026-05-26T04:07:30Z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0x01010068DF48C168E6284DA950AA4555196555</vt:lpwstr>
  </property>
  <property fmtid="{D5CDD505-2E9C-101B-9397-08002B2CF9AE}" pid="3" name="MediaServiceImageTags">
    <vt:lpwstr/>
  </property>
  <property fmtid="{D5CDD505-2E9C-101B-9397-08002B2CF9AE}" pid="4" name="MSIP_Label_2bf23dec-417a-4f4e-854c-c4792a92f800_Enabled">
    <vt:lpwstr>true</vt:lpwstr>
  </property>
  <property fmtid="{D5CDD505-2E9C-101B-9397-08002B2CF9AE}" pid="5" name="MSIP_Label_2bf23dec-417a-4f4e-854c-c4792a92f800_SetDate">
    <vt:lpwstr>2025-01-21T16:38:01Z</vt:lpwstr>
  </property>
  <property fmtid="{D5CDD505-2E9C-101B-9397-08002B2CF9AE}" pid="6" name="MSIP_Label_2bf23dec-417a-4f4e-854c-c4792a92f800_Method">
    <vt:lpwstr>Standard</vt:lpwstr>
  </property>
  <property fmtid="{D5CDD505-2E9C-101B-9397-08002B2CF9AE}" pid="7" name="MSIP_Label_2bf23dec-417a-4f4e-854c-c4792a92f800_Name">
    <vt:lpwstr>Confidential</vt:lpwstr>
  </property>
  <property fmtid="{D5CDD505-2E9C-101B-9397-08002B2CF9AE}" pid="8" name="MSIP_Label_2bf23dec-417a-4f4e-854c-c4792a92f800_SiteId">
    <vt:lpwstr>74bbca6d-410b-45b3-9b51-2a6aa6477079</vt:lpwstr>
  </property>
  <property fmtid="{D5CDD505-2E9C-101B-9397-08002B2CF9AE}" pid="9" name="MSIP_Label_2bf23dec-417a-4f4e-854c-c4792a92f800_ActionId">
    <vt:lpwstr>7ad4495b-4553-4865-9b9e-1f86f6c8f3a8</vt:lpwstr>
  </property>
  <property fmtid="{D5CDD505-2E9C-101B-9397-08002B2CF9AE}" pid="10" name="MSIP_Label_2bf23dec-417a-4f4e-854c-c4792a92f800_ContentBits">
    <vt:lpwstr>0</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ImportWordTable_1" visible="true" label="Import Gap Report" imageMso="SourceControlCheckOut" onAction="ImportWordTable"/>
      </mso:documentControls>
    </mso:qat>
  </mso:ribbon>
</mso:customUI>
</file>